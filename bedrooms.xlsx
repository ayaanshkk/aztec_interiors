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eeb\Downloads\"/>
    </mc:Choice>
  </mc:AlternateContent>
  <xr:revisionPtr revIDLastSave="0" documentId="13_ncr:1_{CDD952D8-847F-4AF7-8D98-9AF8D0DAE78F}" xr6:coauthVersionLast="47" xr6:coauthVersionMax="47" xr10:uidLastSave="{00000000-0000-0000-0000-000000000000}"/>
  <bookViews>
    <workbookView xWindow="-120" yWindow="-120" windowWidth="29040" windowHeight="15720" xr2:uid="{9684BB34-E85D-45B9-9CAF-CCCA2BB181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I79" i="1" l="1"/>
  <c r="G79" i="1"/>
  <c r="I78" i="1"/>
  <c r="G78" i="1"/>
  <c r="I77" i="1"/>
  <c r="G77" i="1"/>
  <c r="I76" i="1"/>
  <c r="G76" i="1"/>
  <c r="I75" i="1"/>
  <c r="G75" i="1"/>
  <c r="I74" i="1"/>
  <c r="G74" i="1"/>
  <c r="I72" i="1"/>
  <c r="G72" i="1"/>
  <c r="I71" i="1"/>
  <c r="G71" i="1"/>
  <c r="I70" i="1"/>
  <c r="G70" i="1"/>
  <c r="I69" i="1"/>
  <c r="G69" i="1"/>
  <c r="I68" i="1"/>
  <c r="G68" i="1"/>
  <c r="I67" i="1"/>
  <c r="G67" i="1"/>
  <c r="I64" i="1"/>
  <c r="J64" i="1" s="1"/>
  <c r="H64" i="1"/>
  <c r="G64" i="1"/>
  <c r="F64" i="1"/>
  <c r="D64" i="1"/>
  <c r="I63" i="1"/>
  <c r="J63" i="1" s="1"/>
  <c r="G63" i="1"/>
  <c r="H63" i="1" s="1"/>
  <c r="F63" i="1"/>
  <c r="D63" i="1"/>
  <c r="I62" i="1"/>
  <c r="G62" i="1"/>
  <c r="H62" i="1" s="1"/>
  <c r="D62" i="1"/>
  <c r="F62" i="1" s="1"/>
  <c r="I61" i="1"/>
  <c r="G61" i="1"/>
  <c r="D61" i="1"/>
  <c r="J61" i="1" s="1"/>
  <c r="I60" i="1"/>
  <c r="J60" i="1" s="1"/>
  <c r="H60" i="1"/>
  <c r="G60" i="1"/>
  <c r="F60" i="1"/>
  <c r="D60" i="1"/>
  <c r="I57" i="1"/>
  <c r="J57" i="1" s="1"/>
  <c r="G57" i="1"/>
  <c r="H57" i="1" s="1"/>
  <c r="F57" i="1"/>
  <c r="D57" i="1"/>
  <c r="J56" i="1"/>
  <c r="I56" i="1"/>
  <c r="G56" i="1"/>
  <c r="H56" i="1" s="1"/>
  <c r="D56" i="1"/>
  <c r="F56" i="1" s="1"/>
  <c r="I55" i="1"/>
  <c r="G55" i="1"/>
  <c r="D55" i="1"/>
  <c r="J55" i="1" s="1"/>
  <c r="I54" i="1"/>
  <c r="J54" i="1" s="1"/>
  <c r="H54" i="1"/>
  <c r="G54" i="1"/>
  <c r="F54" i="1"/>
  <c r="D54" i="1"/>
  <c r="I53" i="1"/>
  <c r="J53" i="1" s="1"/>
  <c r="G53" i="1"/>
  <c r="H53" i="1" s="1"/>
  <c r="F53" i="1"/>
  <c r="D53" i="1"/>
  <c r="J50" i="1"/>
  <c r="I50" i="1"/>
  <c r="G50" i="1"/>
  <c r="H50" i="1" s="1"/>
  <c r="F50" i="1"/>
  <c r="I49" i="1"/>
  <c r="G49" i="1"/>
  <c r="D49" i="1"/>
  <c r="J49" i="1" s="1"/>
  <c r="J48" i="1"/>
  <c r="I48" i="1"/>
  <c r="G48" i="1"/>
  <c r="F48" i="1"/>
  <c r="D48" i="1"/>
  <c r="H48" i="1" s="1"/>
  <c r="I47" i="1"/>
  <c r="H47" i="1"/>
  <c r="G47" i="1"/>
  <c r="D47" i="1"/>
  <c r="F47" i="1" s="1"/>
  <c r="J46" i="1"/>
  <c r="I46" i="1"/>
  <c r="G46" i="1"/>
  <c r="F46" i="1"/>
  <c r="D46" i="1"/>
  <c r="H46" i="1" s="1"/>
  <c r="I44" i="1"/>
  <c r="H44" i="1"/>
  <c r="G44" i="1"/>
  <c r="D44" i="1"/>
  <c r="J44" i="1" s="1"/>
  <c r="J43" i="1"/>
  <c r="I43" i="1"/>
  <c r="G43" i="1"/>
  <c r="F43" i="1"/>
  <c r="D43" i="1"/>
  <c r="H43" i="1" s="1"/>
  <c r="I42" i="1"/>
  <c r="H42" i="1"/>
  <c r="G42" i="1"/>
  <c r="D42" i="1"/>
  <c r="F42" i="1" s="1"/>
  <c r="J41" i="1"/>
  <c r="I41" i="1"/>
  <c r="G41" i="1"/>
  <c r="F41" i="1"/>
  <c r="D41" i="1"/>
  <c r="H41" i="1" s="1"/>
  <c r="I40" i="1"/>
  <c r="H40" i="1"/>
  <c r="G40" i="1"/>
  <c r="D40" i="1"/>
  <c r="J40" i="1" s="1"/>
  <c r="J39" i="1"/>
  <c r="I39" i="1"/>
  <c r="G39" i="1"/>
  <c r="F39" i="1"/>
  <c r="D39" i="1"/>
  <c r="H39" i="1" s="1"/>
  <c r="I36" i="1"/>
  <c r="H36" i="1"/>
  <c r="G36" i="1"/>
  <c r="D36" i="1"/>
  <c r="F36" i="1" s="1"/>
  <c r="J35" i="1"/>
  <c r="I35" i="1"/>
  <c r="G35" i="1"/>
  <c r="F35" i="1"/>
  <c r="D35" i="1"/>
  <c r="H35" i="1" s="1"/>
  <c r="I34" i="1"/>
  <c r="H34" i="1"/>
  <c r="G34" i="1"/>
  <c r="D34" i="1"/>
  <c r="J34" i="1" s="1"/>
  <c r="J33" i="1"/>
  <c r="I33" i="1"/>
  <c r="G33" i="1"/>
  <c r="F33" i="1"/>
  <c r="D33" i="1"/>
  <c r="H33" i="1" s="1"/>
  <c r="I32" i="1"/>
  <c r="H32" i="1"/>
  <c r="G32" i="1"/>
  <c r="D32" i="1"/>
  <c r="F32" i="1" s="1"/>
  <c r="D30" i="1"/>
  <c r="D28" i="1"/>
  <c r="D27" i="1"/>
  <c r="D26" i="1"/>
  <c r="D23" i="1"/>
  <c r="D22" i="1"/>
  <c r="D21" i="1"/>
  <c r="L18" i="1"/>
  <c r="J18" i="1"/>
  <c r="I18" i="1"/>
  <c r="G18" i="1"/>
  <c r="F18" i="1"/>
  <c r="D18" i="1"/>
  <c r="H18" i="1" s="1"/>
  <c r="I16" i="1"/>
  <c r="G16" i="1"/>
  <c r="D16" i="1"/>
  <c r="L16" i="1" s="1"/>
  <c r="I15" i="1"/>
  <c r="J15" i="1" s="1"/>
  <c r="H15" i="1"/>
  <c r="G15" i="1"/>
  <c r="D15" i="1"/>
  <c r="L15" i="1" s="1"/>
  <c r="L14" i="1"/>
  <c r="I14" i="1"/>
  <c r="J14" i="1" s="1"/>
  <c r="G14" i="1"/>
  <c r="H14" i="1" s="1"/>
  <c r="F14" i="1"/>
  <c r="D14" i="1"/>
  <c r="J13" i="1"/>
  <c r="I13" i="1"/>
  <c r="G13" i="1"/>
  <c r="H13" i="1" s="1"/>
  <c r="F13" i="1"/>
  <c r="D13" i="1"/>
  <c r="L13" i="1" s="1"/>
  <c r="I10" i="1"/>
  <c r="G10" i="1"/>
  <c r="D10" i="1"/>
  <c r="H10" i="1" s="1"/>
  <c r="I9" i="1"/>
  <c r="H9" i="1"/>
  <c r="G9" i="1"/>
  <c r="D9" i="1"/>
  <c r="F9" i="1" s="1"/>
  <c r="L8" i="1"/>
  <c r="I8" i="1"/>
  <c r="G8" i="1"/>
  <c r="D8" i="1"/>
  <c r="F8" i="1" s="1"/>
  <c r="L7" i="1"/>
  <c r="J7" i="1"/>
  <c r="I7" i="1"/>
  <c r="G7" i="1"/>
  <c r="F7" i="1"/>
  <c r="D7" i="1"/>
  <c r="H7" i="1" s="1"/>
  <c r="I6" i="1"/>
  <c r="G6" i="1"/>
  <c r="D6" i="1"/>
  <c r="J6" i="1" s="1"/>
  <c r="I5" i="1"/>
  <c r="J5" i="1" s="1"/>
  <c r="G5" i="1"/>
  <c r="D5" i="1"/>
  <c r="L5" i="1" s="1"/>
  <c r="F16" i="1" l="1"/>
  <c r="F55" i="1"/>
  <c r="F61" i="1"/>
  <c r="F6" i="1"/>
  <c r="H8" i="1"/>
  <c r="J10" i="1"/>
  <c r="F5" i="1"/>
  <c r="J9" i="1"/>
  <c r="L10" i="1"/>
  <c r="F15" i="1"/>
  <c r="J32" i="1"/>
  <c r="F34" i="1"/>
  <c r="J36" i="1"/>
  <c r="F40" i="1"/>
  <c r="J42" i="1"/>
  <c r="F44" i="1"/>
  <c r="J47" i="1"/>
  <c r="F49" i="1"/>
  <c r="H6" i="1"/>
  <c r="J8" i="1"/>
  <c r="L9" i="1"/>
  <c r="H16" i="1"/>
  <c r="H55" i="1"/>
  <c r="H61" i="1"/>
  <c r="J62" i="1"/>
  <c r="H49" i="1"/>
  <c r="J16" i="1"/>
  <c r="F10" i="1"/>
  <c r="L6" i="1"/>
</calcChain>
</file>

<file path=xl/sharedStrings.xml><?xml version="1.0" encoding="utf-8"?>
<sst xmlns="http://schemas.openxmlformats.org/spreadsheetml/2006/main" count="215" uniqueCount="140">
  <si>
    <t>carcas price ex VAT</t>
  </si>
  <si>
    <t>Code</t>
  </si>
  <si>
    <t>2016 Price</t>
  </si>
  <si>
    <t>2025 Price</t>
  </si>
  <si>
    <t xml:space="preserve">basic slab frnt door (2250 H) / drawer </t>
  </si>
  <si>
    <t>TOTAL</t>
  </si>
  <si>
    <t>Acrylic gloss/Matt</t>
  </si>
  <si>
    <t>vinyl doors</t>
  </si>
  <si>
    <t>Black Glass</t>
  </si>
  <si>
    <t>Width</t>
  </si>
  <si>
    <t>Height</t>
  </si>
  <si>
    <t>Depth</t>
  </si>
  <si>
    <t>Category</t>
  </si>
  <si>
    <t>qty1</t>
  </si>
  <si>
    <t>Height1</t>
  </si>
  <si>
    <t>Width1</t>
  </si>
  <si>
    <t>qty2</t>
  </si>
  <si>
    <t>Height2</t>
  </si>
  <si>
    <t>Width2</t>
  </si>
  <si>
    <t>qty3</t>
  </si>
  <si>
    <t>Height3</t>
  </si>
  <si>
    <t>Width3</t>
  </si>
  <si>
    <t>40R</t>
  </si>
  <si>
    <t>400mm wide robe</t>
  </si>
  <si>
    <t>Wardrobes</t>
  </si>
  <si>
    <t>standard</t>
  </si>
  <si>
    <t>50R</t>
  </si>
  <si>
    <t>500mm wide rode</t>
  </si>
  <si>
    <t>60R</t>
  </si>
  <si>
    <t>600mm wide robe</t>
  </si>
  <si>
    <t>80R</t>
  </si>
  <si>
    <t>800mm wide robe</t>
  </si>
  <si>
    <t>100R</t>
  </si>
  <si>
    <t>1000mm wide robe</t>
  </si>
  <si>
    <t>120R</t>
  </si>
  <si>
    <t>1200mm wide robe</t>
  </si>
  <si>
    <t>80RC</t>
  </si>
  <si>
    <t>800mm wide corner robe</t>
  </si>
  <si>
    <t>Corner</t>
  </si>
  <si>
    <t>90RC</t>
  </si>
  <si>
    <t>900mm wide corner robe</t>
  </si>
  <si>
    <t>100RC</t>
  </si>
  <si>
    <t>1000mm wide corner robe</t>
  </si>
  <si>
    <t>120RC</t>
  </si>
  <si>
    <t>1200mm wide corner robe</t>
  </si>
  <si>
    <t>90RDCNR</t>
  </si>
  <si>
    <t>diagonal corner robe (496mm door)</t>
  </si>
  <si>
    <t>All above cabinet are 2160mm high x 560mm deep + legs</t>
  </si>
  <si>
    <t>WDS</t>
  </si>
  <si>
    <t>Standard Door Split</t>
  </si>
  <si>
    <t xml:space="preserve">  </t>
  </si>
  <si>
    <t>Misc</t>
  </si>
  <si>
    <t>IDRW</t>
  </si>
  <si>
    <t>x1 standard Internal drawer</t>
  </si>
  <si>
    <t>Internal Draws</t>
  </si>
  <si>
    <t>SCIDRW</t>
  </si>
  <si>
    <t>x1 Internal softclose drawer</t>
  </si>
  <si>
    <t>SDSC1</t>
  </si>
  <si>
    <t>Sliding Door (Single Colour)</t>
  </si>
  <si>
    <t>Sliding</t>
  </si>
  <si>
    <t>SDFM1</t>
  </si>
  <si>
    <t xml:space="preserve">Sliding Door - Full Mirror </t>
  </si>
  <si>
    <t>SDSC3</t>
  </si>
  <si>
    <t>Sliding Door - x3 Split Colour</t>
  </si>
  <si>
    <t>SDS</t>
  </si>
  <si>
    <t>Sliding Door - Extra Split</t>
  </si>
  <si>
    <t>sliding</t>
  </si>
  <si>
    <t>40RLP</t>
  </si>
  <si>
    <t>linen press 1495mm door + 3 x 215mm drawers 400mm wide</t>
  </si>
  <si>
    <t>Linen Press</t>
  </si>
  <si>
    <t>50RLP</t>
  </si>
  <si>
    <t>linen press 1495mm door + 3 x 215mm drawers 500mm wide</t>
  </si>
  <si>
    <t>60RLP</t>
  </si>
  <si>
    <t>linen press 1495mm door + 3 x 215mm drawers 600mm wide</t>
  </si>
  <si>
    <t>80RLP</t>
  </si>
  <si>
    <t>linen press 1495mm door + 3 x 215mm drawers 800mm wide</t>
  </si>
  <si>
    <t>100RLP</t>
  </si>
  <si>
    <t>linen press 1495mm door + 3 x 215mm drawers 1000mm wide</t>
  </si>
  <si>
    <t>standard 2160mm high + legs</t>
  </si>
  <si>
    <t>40BRS</t>
  </si>
  <si>
    <t>540mm high x 560mm deep deep bridging unit 400mm wide</t>
  </si>
  <si>
    <t>Wall Units</t>
  </si>
  <si>
    <t>Bridging</t>
  </si>
  <si>
    <t>50BRS</t>
  </si>
  <si>
    <t>540mm high x 560mm deep deep bridging unit 500mm wide</t>
  </si>
  <si>
    <t>60BRS</t>
  </si>
  <si>
    <t>540mm high x 560mm deep deep bridging unit 600mm wide</t>
  </si>
  <si>
    <t>80BRS</t>
  </si>
  <si>
    <t>540mm high x 560mm deep deep bridging unit 800mm wide</t>
  </si>
  <si>
    <t>100BRS</t>
  </si>
  <si>
    <t>540mm high x 560mm deep deep bridging unit 1000mm wide</t>
  </si>
  <si>
    <t>120BRS</t>
  </si>
  <si>
    <t>540mm high x 560mm deep deep bridging unit 1200mm wide</t>
  </si>
  <si>
    <t>403BDRW</t>
  </si>
  <si>
    <t>760mm high x 490mm deep + 3 x 215mm drawers 400mm wide</t>
  </si>
  <si>
    <t>Chest of drawers</t>
  </si>
  <si>
    <t>Medium</t>
  </si>
  <si>
    <t>503BDRW</t>
  </si>
  <si>
    <t>760mm high x 490mm deep + 3 x 215mm drawers 500mm wide</t>
  </si>
  <si>
    <t>603BDRW</t>
  </si>
  <si>
    <t>760mm high x 490mm deep + 3 x 215mm drawers 600mm wide</t>
  </si>
  <si>
    <t>803BDRW</t>
  </si>
  <si>
    <t>760mm high x 490mm deep + 3 x 215mm drawers 800mm wide</t>
  </si>
  <si>
    <t>1003BDRW</t>
  </si>
  <si>
    <t>760mm high x 490mm deep + 3 x 215mm drawers 1000mm wide</t>
  </si>
  <si>
    <t>chest of drawers</t>
  </si>
  <si>
    <t>402BDRW</t>
  </si>
  <si>
    <t>540mm high x 490mm deep + 2 x 215mm drawers 400mm wide</t>
  </si>
  <si>
    <t>Standard</t>
  </si>
  <si>
    <t>502BDRW</t>
  </si>
  <si>
    <t>540mm high x 490mm deep + 2 x 215mm drawers 500mm wide</t>
  </si>
  <si>
    <t>602BDRW</t>
  </si>
  <si>
    <t>540mm high x 490mm deep + 2 x 215mm drawers 600mm wide</t>
  </si>
  <si>
    <t>802BDRW</t>
  </si>
  <si>
    <t>540mm high x 490mm deep + 2 x 215mm drawers 800mm wide</t>
  </si>
  <si>
    <t>1002BDRW</t>
  </si>
  <si>
    <t>540mm high x 490mm deep + 2 x 215mm drawers 1000mm wide</t>
  </si>
  <si>
    <t>405BDRW</t>
  </si>
  <si>
    <t>1000mm high x 490mm deep + 5 x 175mm drawers 400mm wide</t>
  </si>
  <si>
    <t>High</t>
  </si>
  <si>
    <t>505BDRW</t>
  </si>
  <si>
    <t>1000mm high x 490mm deep + 5 x 175mm drawers 500mm wide</t>
  </si>
  <si>
    <t>605BDRW</t>
  </si>
  <si>
    <t>1000mm high x 490mm deep + 5 x 175mm drawers 600mm wide</t>
  </si>
  <si>
    <t>805BDRW</t>
  </si>
  <si>
    <t>1000mm high x 490mm deep + 5 x 175mm drawers 800mm wide</t>
  </si>
  <si>
    <t>1005BDRW</t>
  </si>
  <si>
    <t>1000mm high x 490mm deep + 5 x 175mm drawers 1000mm wide</t>
  </si>
  <si>
    <t xml:space="preserve">215mm high x 396mm wide drawer front </t>
  </si>
  <si>
    <t xml:space="preserve">215mm high x 496mm wide drawer front </t>
  </si>
  <si>
    <t xml:space="preserve">215mm high x 596mm wide drawer front </t>
  </si>
  <si>
    <t xml:space="preserve">215mm high x 796mm wide drawer front </t>
  </si>
  <si>
    <t xml:space="preserve">215mm high x 896mm wide drawer front </t>
  </si>
  <si>
    <t xml:space="preserve">215mm high x 996mm wide drawer front </t>
  </si>
  <si>
    <t xml:space="preserve">175mm high x 396mm wide drawer front </t>
  </si>
  <si>
    <t xml:space="preserve">175mm high x 496mm wide drawer front </t>
  </si>
  <si>
    <t xml:space="preserve">175mm high x 596mm wide drawer front </t>
  </si>
  <si>
    <t xml:space="preserve">175mm high x 796mm wide drawer front </t>
  </si>
  <si>
    <t xml:space="preserve">175mm high x 896mm wide drawer front </t>
  </si>
  <si>
    <t xml:space="preserve">175mm high x 996mm wide drawer front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</si>
</sst>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2" fontId="2" fillId="0" borderId="0" xfId="0" applyNumberFormat="1" applyFont="1"/>
    <xf numFmtId="2" fontId="2" fillId="2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2" borderId="0" xfId="0" applyNumberFormat="1" applyFont="1" applyFill="1"/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2" fontId="3" fillId="0" borderId="3" xfId="0" applyNumberFormat="1" applyFont="1" applyBorder="1" applyAlignment="1">
      <alignment horizontal="center" vertical="center" wrapText="1"/>
    </xf>
    <xf numFmtId="2" fontId="3" fillId="3" borderId="3" xfId="0" applyNumberFormat="1" applyFont="1" applyFill="1" applyBorder="1" applyAlignment="1">
      <alignment horizontal="center" vertical="center" wrapText="1"/>
    </xf>
    <xf numFmtId="2" fontId="3" fillId="4" borderId="3" xfId="0" applyNumberFormat="1" applyFont="1" applyFill="1" applyBorder="1" applyAlignment="1">
      <alignment horizontal="center" vertical="center" wrapText="1"/>
    </xf>
    <xf numFmtId="2" fontId="3" fillId="5" borderId="3" xfId="0" applyNumberFormat="1" applyFont="1" applyFill="1" applyBorder="1" applyAlignment="1">
      <alignment horizontal="center" vertical="center" wrapText="1"/>
    </xf>
    <xf numFmtId="2" fontId="3" fillId="6" borderId="3" xfId="0" applyNumberFormat="1" applyFont="1" applyFill="1" applyBorder="1" applyAlignment="1">
      <alignment horizontal="center" vertical="center" wrapText="1"/>
    </xf>
    <xf numFmtId="2" fontId="3" fillId="7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4" xfId="0" applyBorder="1"/>
    <xf numFmtId="2" fontId="4" fillId="0" borderId="4" xfId="0" applyNumberFormat="1" applyFont="1" applyBorder="1" applyAlignment="1">
      <alignment horizontal="center"/>
    </xf>
    <xf numFmtId="2" fontId="4" fillId="3" borderId="4" xfId="0" applyNumberFormat="1" applyFont="1" applyFill="1" applyBorder="1" applyAlignment="1">
      <alignment horizontal="center"/>
    </xf>
    <xf numFmtId="2" fontId="5" fillId="2" borderId="4" xfId="0" applyNumberFormat="1" applyFont="1" applyFill="1" applyBorder="1" applyAlignment="1">
      <alignment horizontal="center"/>
    </xf>
    <xf numFmtId="2" fontId="5" fillId="4" borderId="4" xfId="0" applyNumberFormat="1" applyFont="1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2" fontId="4" fillId="6" borderId="4" xfId="0" applyNumberFormat="1" applyFont="1" applyFill="1" applyBorder="1" applyAlignment="1">
      <alignment horizontal="center"/>
    </xf>
    <xf numFmtId="2" fontId="4" fillId="7" borderId="4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5" xfId="0" applyBorder="1"/>
    <xf numFmtId="2" fontId="4" fillId="0" borderId="5" xfId="0" applyNumberFormat="1" applyFont="1" applyBorder="1" applyAlignment="1">
      <alignment horizontal="center"/>
    </xf>
    <xf numFmtId="2" fontId="4" fillId="3" borderId="5" xfId="0" applyNumberFormat="1" applyFont="1" applyFill="1" applyBorder="1" applyAlignment="1">
      <alignment horizontal="center"/>
    </xf>
    <xf numFmtId="2" fontId="5" fillId="2" borderId="5" xfId="0" applyNumberFormat="1" applyFont="1" applyFill="1" applyBorder="1" applyAlignment="1">
      <alignment horizontal="center"/>
    </xf>
    <xf numFmtId="2" fontId="5" fillId="4" borderId="5" xfId="0" applyNumberFormat="1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2" fontId="4" fillId="5" borderId="5" xfId="0" applyNumberFormat="1" applyFont="1" applyFill="1" applyBorder="1" applyAlignment="1">
      <alignment horizontal="center"/>
    </xf>
    <xf numFmtId="2" fontId="4" fillId="6" borderId="5" xfId="0" applyNumberFormat="1" applyFont="1" applyFill="1" applyBorder="1" applyAlignment="1">
      <alignment horizontal="center"/>
    </xf>
    <xf numFmtId="2" fontId="4" fillId="7" borderId="5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5" fillId="7" borderId="5" xfId="0" applyNumberFormat="1" applyFont="1" applyFill="1" applyBorder="1" applyAlignment="1">
      <alignment horizontal="center"/>
    </xf>
    <xf numFmtId="0" fontId="6" fillId="0" borderId="5" xfId="0" applyFont="1" applyBorder="1"/>
    <xf numFmtId="0" fontId="7" fillId="0" borderId="5" xfId="0" applyFont="1" applyBorder="1"/>
    <xf numFmtId="0" fontId="0" fillId="0" borderId="6" xfId="0" applyBorder="1"/>
    <xf numFmtId="2" fontId="0" fillId="0" borderId="5" xfId="0" applyNumberFormat="1" applyBorder="1"/>
    <xf numFmtId="2" fontId="0" fillId="3" borderId="5" xfId="0" applyNumberFormat="1" applyFill="1" applyBorder="1"/>
    <xf numFmtId="2" fontId="2" fillId="2" borderId="5" xfId="0" applyNumberFormat="1" applyFont="1" applyFill="1" applyBorder="1" applyAlignment="1">
      <alignment horizontal="center"/>
    </xf>
    <xf numFmtId="2" fontId="2" fillId="4" borderId="5" xfId="0" applyNumberFormat="1" applyFont="1" applyFill="1" applyBorder="1" applyAlignment="1">
      <alignment horizontal="center"/>
    </xf>
    <xf numFmtId="2" fontId="0" fillId="2" borderId="5" xfId="0" applyNumberFormat="1" applyFill="1" applyBorder="1"/>
    <xf numFmtId="2" fontId="0" fillId="6" borderId="5" xfId="0" applyNumberFormat="1" applyFill="1" applyBorder="1"/>
    <xf numFmtId="2" fontId="0" fillId="7" borderId="5" xfId="0" applyNumberFormat="1" applyFill="1" applyBorder="1"/>
    <xf numFmtId="2" fontId="4" fillId="4" borderId="5" xfId="0" applyNumberFormat="1" applyFont="1" applyFill="1" applyBorder="1" applyAlignment="1">
      <alignment horizontal="center"/>
    </xf>
    <xf numFmtId="2" fontId="4" fillId="0" borderId="5" xfId="0" applyNumberFormat="1" applyFont="1" applyBorder="1"/>
    <xf numFmtId="2" fontId="4" fillId="3" borderId="5" xfId="0" applyNumberFormat="1" applyFont="1" applyFill="1" applyBorder="1"/>
    <xf numFmtId="2" fontId="4" fillId="2" borderId="5" xfId="0" applyNumberFormat="1" applyFont="1" applyFill="1" applyBorder="1"/>
    <xf numFmtId="2" fontId="4" fillId="6" borderId="5" xfId="0" applyNumberFormat="1" applyFont="1" applyFill="1" applyBorder="1"/>
    <xf numFmtId="2" fontId="4" fillId="7" borderId="5" xfId="0" applyNumberFormat="1" applyFont="1" applyFill="1" applyBorder="1"/>
    <xf numFmtId="0" fontId="4" fillId="0" borderId="5" xfId="0" applyFont="1" applyBorder="1"/>
    <xf numFmtId="2" fontId="0" fillId="2" borderId="5" xfId="0" applyNumberForma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2" borderId="5" xfId="0" applyNumberFormat="1" applyFill="1" applyBorder="1" applyAlignment="1">
      <alignment vertical="center"/>
    </xf>
    <xf numFmtId="2" fontId="0" fillId="0" borderId="5" xfId="0" applyNumberFormat="1" applyBorder="1" applyAlignment="1">
      <alignment vertical="center"/>
    </xf>
    <xf numFmtId="0" fontId="0" fillId="0" borderId="7" xfId="0" applyBorder="1"/>
    <xf numFmtId="0" fontId="7" fillId="0" borderId="7" xfId="0" applyFont="1" applyBorder="1"/>
    <xf numFmtId="2" fontId="0" fillId="0" borderId="7" xfId="0" applyNumberFormat="1" applyBorder="1"/>
    <xf numFmtId="2" fontId="0" fillId="2" borderId="7" xfId="0" applyNumberForma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/>
    </xf>
    <xf numFmtId="2" fontId="0" fillId="0" borderId="0" xfId="0" applyNumberFormat="1"/>
    <xf numFmtId="2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vertical="center"/>
    </xf>
    <xf numFmtId="2" fontId="0" fillId="0" borderId="0" xfId="0" applyNumberFormat="1" applyAlignment="1">
      <alignment vertical="center"/>
    </xf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/>
    <xf numFmtId="2" fontId="2" fillId="0" borderId="1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21EF-08B7-4110-BC26-DA0AFB7D5D6C}">
  <dimension ref="A2:AC81"/>
  <sheetViews>
    <sheetView tabSelected="1" topLeftCell="A5" workbookViewId="0">
      <selection activeCell="A5" sqref="A5"/>
    </sheetView>
  </sheetViews>
  <sheetFormatPr defaultRowHeight="15" x14ac:dyDescent="0.25"/>
  <cols>
    <col min="1" max="1" width="11.42578125" bestFit="1" customWidth="1"/>
    <col min="2" max="2" width="62.85546875" bestFit="1" customWidth="1"/>
    <col min="3" max="3" width="12.28515625" style="63" hidden="1" customWidth="1"/>
    <col min="4" max="4" width="12.28515625" style="63" bestFit="1" customWidth="1"/>
    <col min="5" max="5" width="15.5703125" style="68" customWidth="1"/>
    <col min="6" max="6" width="14.85546875" style="69" customWidth="1"/>
    <col min="7" max="7" width="13.5703125" style="70" customWidth="1"/>
    <col min="8" max="8" width="11.42578125" style="63" customWidth="1"/>
    <col min="9" max="9" width="11.42578125" style="70" customWidth="1"/>
    <col min="10" max="10" width="11.42578125" style="63" customWidth="1"/>
    <col min="11" max="11" width="9.7109375" style="70" customWidth="1"/>
    <col min="12" max="12" width="9.7109375" style="63" customWidth="1"/>
    <col min="16" max="16" width="15.28515625" bestFit="1" customWidth="1"/>
    <col min="17" max="17" width="13.28515625" bestFit="1" customWidth="1"/>
  </cols>
  <sheetData>
    <row r="2" spans="1:26" x14ac:dyDescent="0.25">
      <c r="C2" s="1"/>
      <c r="D2" s="1">
        <v>2.2999999999999998</v>
      </c>
      <c r="E2" s="2"/>
      <c r="F2" s="3"/>
      <c r="G2" s="4">
        <v>1.5</v>
      </c>
      <c r="H2" s="1"/>
      <c r="I2" s="4">
        <v>1.88</v>
      </c>
      <c r="J2" s="1"/>
      <c r="K2" s="4"/>
      <c r="L2" s="1"/>
      <c r="M2" s="1"/>
    </row>
    <row r="3" spans="1:26" ht="15.75" thickBot="1" x14ac:dyDescent="0.3">
      <c r="C3" s="71" t="s">
        <v>0</v>
      </c>
      <c r="D3" s="72"/>
      <c r="E3" s="2"/>
      <c r="F3" s="3"/>
      <c r="G3" s="4"/>
      <c r="H3" s="1"/>
      <c r="I3" s="4"/>
      <c r="J3" s="1"/>
      <c r="K3" s="4"/>
      <c r="L3" s="1"/>
      <c r="M3" s="1"/>
    </row>
    <row r="4" spans="1:26" s="13" customFormat="1" ht="45.2" customHeight="1" thickBot="1" x14ac:dyDescent="0.3">
      <c r="A4" s="5" t="s">
        <v>1</v>
      </c>
      <c r="B4" s="6"/>
      <c r="C4" s="7" t="s">
        <v>2</v>
      </c>
      <c r="D4" s="8" t="s">
        <v>3</v>
      </c>
      <c r="E4" s="9" t="s">
        <v>4</v>
      </c>
      <c r="F4" s="9" t="s">
        <v>5</v>
      </c>
      <c r="G4" s="10" t="s">
        <v>6</v>
      </c>
      <c r="H4" s="10" t="s">
        <v>5</v>
      </c>
      <c r="I4" s="11" t="s">
        <v>7</v>
      </c>
      <c r="J4" s="11" t="s">
        <v>5</v>
      </c>
      <c r="K4" s="12" t="s">
        <v>8</v>
      </c>
      <c r="L4" s="12" t="s">
        <v>5</v>
      </c>
      <c r="M4" s="5" t="s">
        <v>9</v>
      </c>
      <c r="N4" s="5" t="s">
        <v>10</v>
      </c>
      <c r="O4" s="5" t="s">
        <v>11</v>
      </c>
      <c r="P4" s="6" t="s">
        <v>12</v>
      </c>
      <c r="Q4" s="6" t="s">
        <v>12</v>
      </c>
      <c r="R4" s="6" t="s">
        <v>13</v>
      </c>
      <c r="S4" s="6" t="s">
        <v>14</v>
      </c>
      <c r="T4" s="6" t="s">
        <v>15</v>
      </c>
      <c r="U4" s="6" t="s">
        <v>16</v>
      </c>
      <c r="V4" s="6" t="s">
        <v>17</v>
      </c>
      <c r="W4" s="6" t="s">
        <v>18</v>
      </c>
      <c r="X4" s="6" t="s">
        <v>19</v>
      </c>
      <c r="Y4" s="6" t="s">
        <v>20</v>
      </c>
      <c r="Z4" s="6" t="s">
        <v>21</v>
      </c>
    </row>
    <row r="5" spans="1:26" x14ac:dyDescent="0.25">
      <c r="A5" s="14" t="s">
        <v>22</v>
      </c>
      <c r="B5" s="14" t="s">
        <v>23</v>
      </c>
      <c r="C5" s="15">
        <v>85.8</v>
      </c>
      <c r="D5" s="16">
        <f>PRODUCT(C5,$D$2)</f>
        <v>197.33999999999997</v>
      </c>
      <c r="E5" s="17">
        <v>85.03</v>
      </c>
      <c r="F5" s="18">
        <f>SUM(D5:E5)</f>
        <v>282.37</v>
      </c>
      <c r="G5" s="19">
        <f>PRODUCT(E5,$G$2)</f>
        <v>127.545</v>
      </c>
      <c r="H5" s="20">
        <f>SUM(D5,G5)</f>
        <v>324.88499999999999</v>
      </c>
      <c r="I5" s="19">
        <f>PRODUCT(E5,$I$2)</f>
        <v>159.85639999999998</v>
      </c>
      <c r="J5" s="21">
        <f>SUM(D5,I5)</f>
        <v>357.19639999999993</v>
      </c>
      <c r="K5" s="19">
        <v>453.44</v>
      </c>
      <c r="L5" s="22">
        <f>SUM(D5,K5)</f>
        <v>650.78</v>
      </c>
      <c r="M5" s="23">
        <v>400</v>
      </c>
      <c r="N5" s="23">
        <v>2160</v>
      </c>
      <c r="O5" s="23">
        <v>570</v>
      </c>
      <c r="P5" s="14" t="s">
        <v>24</v>
      </c>
      <c r="Q5" s="14" t="s">
        <v>25</v>
      </c>
      <c r="R5" s="14">
        <v>1</v>
      </c>
      <c r="S5" s="14">
        <v>2155</v>
      </c>
      <c r="T5" s="14">
        <v>395</v>
      </c>
      <c r="U5" s="14"/>
      <c r="V5" s="14"/>
      <c r="W5" s="14"/>
      <c r="X5" s="14"/>
      <c r="Y5" s="14"/>
      <c r="Z5" s="14"/>
    </row>
    <row r="6" spans="1:26" x14ac:dyDescent="0.25">
      <c r="A6" s="24" t="s">
        <v>26</v>
      </c>
      <c r="B6" s="24" t="s">
        <v>27</v>
      </c>
      <c r="C6" s="25">
        <v>86.9</v>
      </c>
      <c r="D6" s="26">
        <f>PRODUCT(C6,$D$2)</f>
        <v>199.87</v>
      </c>
      <c r="E6" s="27">
        <v>101.96</v>
      </c>
      <c r="F6" s="28">
        <f t="shared" ref="F6:F10" si="0">SUM(D6:E6)</f>
        <v>301.83</v>
      </c>
      <c r="G6" s="29">
        <f t="shared" ref="G6:G10" si="1">PRODUCT(E6,$G$2)</f>
        <v>152.94</v>
      </c>
      <c r="H6" s="30">
        <f t="shared" ref="H6:H64" si="2">SUM(D6,G6)</f>
        <v>352.81</v>
      </c>
      <c r="I6" s="29">
        <f t="shared" ref="I6:I10" si="3">PRODUCT(E6,$I$2)</f>
        <v>191.68479999999997</v>
      </c>
      <c r="J6" s="31">
        <f t="shared" ref="J6:J10" si="4">SUM(D6,I6)</f>
        <v>391.5548</v>
      </c>
      <c r="K6" s="29">
        <v>453.44</v>
      </c>
      <c r="L6" s="32">
        <f t="shared" ref="L6:L10" si="5">SUM(D6,K6)</f>
        <v>653.30999999999995</v>
      </c>
      <c r="M6" s="33">
        <v>500</v>
      </c>
      <c r="N6" s="33">
        <v>2160</v>
      </c>
      <c r="O6" s="33">
        <v>570</v>
      </c>
      <c r="P6" s="24" t="s">
        <v>24</v>
      </c>
      <c r="Q6" s="24" t="s">
        <v>25</v>
      </c>
      <c r="R6" s="24">
        <v>1</v>
      </c>
      <c r="S6" s="24">
        <v>2155</v>
      </c>
      <c r="T6" s="24">
        <v>495</v>
      </c>
      <c r="U6" s="24"/>
      <c r="V6" s="24"/>
      <c r="W6" s="24"/>
      <c r="X6" s="24"/>
      <c r="Y6" s="24"/>
      <c r="Z6" s="24"/>
    </row>
    <row r="7" spans="1:26" x14ac:dyDescent="0.25">
      <c r="A7" s="24" t="s">
        <v>28</v>
      </c>
      <c r="B7" s="24" t="s">
        <v>29</v>
      </c>
      <c r="C7" s="25">
        <v>88</v>
      </c>
      <c r="D7" s="26">
        <f t="shared" ref="D7:D10" si="6">PRODUCT(C7,$D$2)</f>
        <v>202.39999999999998</v>
      </c>
      <c r="E7" s="27">
        <v>117.58</v>
      </c>
      <c r="F7" s="28">
        <f t="shared" si="0"/>
        <v>319.97999999999996</v>
      </c>
      <c r="G7" s="29">
        <f t="shared" si="1"/>
        <v>176.37</v>
      </c>
      <c r="H7" s="30">
        <f t="shared" si="2"/>
        <v>378.77</v>
      </c>
      <c r="I7" s="29">
        <f t="shared" si="3"/>
        <v>221.0504</v>
      </c>
      <c r="J7" s="31">
        <f t="shared" si="4"/>
        <v>423.45039999999995</v>
      </c>
      <c r="K7" s="29">
        <v>453.44</v>
      </c>
      <c r="L7" s="32">
        <f t="shared" si="5"/>
        <v>655.83999999999992</v>
      </c>
      <c r="M7" s="33">
        <v>600</v>
      </c>
      <c r="N7" s="33">
        <v>2160</v>
      </c>
      <c r="O7" s="33">
        <v>570</v>
      </c>
      <c r="P7" s="24" t="s">
        <v>24</v>
      </c>
      <c r="Q7" s="24" t="s">
        <v>25</v>
      </c>
      <c r="R7" s="24">
        <v>1</v>
      </c>
      <c r="S7" s="24">
        <v>2155</v>
      </c>
      <c r="T7" s="24">
        <v>595</v>
      </c>
      <c r="U7" s="24"/>
      <c r="V7" s="24"/>
      <c r="W7" s="24"/>
      <c r="X7" s="24"/>
      <c r="Y7" s="24"/>
      <c r="Z7" s="24"/>
    </row>
    <row r="8" spans="1:26" x14ac:dyDescent="0.25">
      <c r="A8" s="24" t="s">
        <v>30</v>
      </c>
      <c r="B8" s="24" t="s">
        <v>31</v>
      </c>
      <c r="C8" s="25">
        <v>92.1</v>
      </c>
      <c r="D8" s="26">
        <f t="shared" si="6"/>
        <v>211.82999999999998</v>
      </c>
      <c r="E8" s="27">
        <v>170.06</v>
      </c>
      <c r="F8" s="28">
        <f t="shared" si="0"/>
        <v>381.89</v>
      </c>
      <c r="G8" s="29">
        <f t="shared" si="1"/>
        <v>255.09</v>
      </c>
      <c r="H8" s="30">
        <f t="shared" si="2"/>
        <v>466.91999999999996</v>
      </c>
      <c r="I8" s="29">
        <f t="shared" si="3"/>
        <v>319.71279999999996</v>
      </c>
      <c r="J8" s="31">
        <f t="shared" si="4"/>
        <v>531.54279999999994</v>
      </c>
      <c r="K8" s="29">
        <v>906.88</v>
      </c>
      <c r="L8" s="32">
        <f t="shared" si="5"/>
        <v>1118.71</v>
      </c>
      <c r="M8" s="33">
        <v>800</v>
      </c>
      <c r="N8" s="33">
        <v>2160</v>
      </c>
      <c r="O8" s="33">
        <v>570</v>
      </c>
      <c r="P8" s="24" t="s">
        <v>24</v>
      </c>
      <c r="Q8" s="24" t="s">
        <v>25</v>
      </c>
      <c r="R8" s="24">
        <v>2</v>
      </c>
      <c r="S8" s="24">
        <v>2155</v>
      </c>
      <c r="T8" s="24">
        <v>395</v>
      </c>
      <c r="U8" s="24"/>
      <c r="V8" s="24"/>
      <c r="W8" s="24"/>
      <c r="X8" s="24"/>
      <c r="Y8" s="24"/>
      <c r="Z8" s="24"/>
    </row>
    <row r="9" spans="1:26" x14ac:dyDescent="0.25">
      <c r="A9" s="24" t="s">
        <v>32</v>
      </c>
      <c r="B9" s="24" t="s">
        <v>33</v>
      </c>
      <c r="C9" s="25">
        <v>94.2</v>
      </c>
      <c r="D9" s="26">
        <f t="shared" si="6"/>
        <v>216.66</v>
      </c>
      <c r="E9" s="27">
        <v>203.92</v>
      </c>
      <c r="F9" s="28">
        <f t="shared" si="0"/>
        <v>420.58</v>
      </c>
      <c r="G9" s="29">
        <f t="shared" si="1"/>
        <v>305.88</v>
      </c>
      <c r="H9" s="30">
        <f t="shared" si="2"/>
        <v>522.54</v>
      </c>
      <c r="I9" s="29">
        <f t="shared" si="3"/>
        <v>383.36959999999993</v>
      </c>
      <c r="J9" s="31">
        <f t="shared" si="4"/>
        <v>600.02959999999996</v>
      </c>
      <c r="K9" s="29">
        <v>906.88</v>
      </c>
      <c r="L9" s="32">
        <f t="shared" si="5"/>
        <v>1123.54</v>
      </c>
      <c r="M9" s="33">
        <v>1000</v>
      </c>
      <c r="N9" s="33">
        <v>2160</v>
      </c>
      <c r="O9" s="33">
        <v>570</v>
      </c>
      <c r="P9" s="24" t="s">
        <v>24</v>
      </c>
      <c r="Q9" s="24" t="s">
        <v>25</v>
      </c>
      <c r="R9" s="24">
        <v>2</v>
      </c>
      <c r="S9" s="24">
        <v>2155</v>
      </c>
      <c r="T9" s="24">
        <v>495</v>
      </c>
      <c r="U9" s="24"/>
      <c r="V9" s="24"/>
      <c r="W9" s="24"/>
      <c r="X9" s="24"/>
      <c r="Y9" s="24"/>
      <c r="Z9" s="24"/>
    </row>
    <row r="10" spans="1:26" x14ac:dyDescent="0.25">
      <c r="A10" s="24" t="s">
        <v>34</v>
      </c>
      <c r="B10" s="24" t="s">
        <v>35</v>
      </c>
      <c r="C10" s="34">
        <v>96.3</v>
      </c>
      <c r="D10" s="26">
        <f t="shared" si="6"/>
        <v>221.48999999999998</v>
      </c>
      <c r="E10" s="27">
        <v>235.16</v>
      </c>
      <c r="F10" s="28">
        <f t="shared" si="0"/>
        <v>456.65</v>
      </c>
      <c r="G10" s="29">
        <f t="shared" si="1"/>
        <v>352.74</v>
      </c>
      <c r="H10" s="30">
        <f t="shared" si="2"/>
        <v>574.23</v>
      </c>
      <c r="I10" s="29">
        <f t="shared" si="3"/>
        <v>442.10079999999999</v>
      </c>
      <c r="J10" s="31">
        <f t="shared" si="4"/>
        <v>663.59079999999994</v>
      </c>
      <c r="K10" s="27">
        <v>906.88</v>
      </c>
      <c r="L10" s="35">
        <f t="shared" si="5"/>
        <v>1128.3699999999999</v>
      </c>
      <c r="M10" s="33">
        <v>1200</v>
      </c>
      <c r="N10" s="33">
        <v>2160</v>
      </c>
      <c r="O10" s="33">
        <v>570</v>
      </c>
      <c r="P10" s="24" t="s">
        <v>24</v>
      </c>
      <c r="Q10" s="24" t="s">
        <v>25</v>
      </c>
      <c r="R10" s="24">
        <v>2</v>
      </c>
      <c r="S10" s="24">
        <v>2155</v>
      </c>
      <c r="T10" s="24">
        <v>595</v>
      </c>
      <c r="U10" s="24"/>
      <c r="V10" s="24"/>
      <c r="W10" s="24"/>
      <c r="X10" s="24"/>
      <c r="Y10" s="24"/>
      <c r="Z10" s="24"/>
    </row>
    <row r="11" spans="1:26" x14ac:dyDescent="0.25">
      <c r="A11" s="24"/>
      <c r="B11" s="24"/>
      <c r="C11" s="25"/>
      <c r="D11" s="26"/>
      <c r="E11" s="27"/>
      <c r="F11" s="28"/>
      <c r="G11" s="29"/>
      <c r="H11" s="30"/>
      <c r="I11" s="29"/>
      <c r="J11" s="31"/>
      <c r="K11" s="29"/>
      <c r="L11" s="32"/>
      <c r="M11" s="33"/>
      <c r="N11" s="33"/>
      <c r="O11" s="33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x14ac:dyDescent="0.25">
      <c r="A12" s="24"/>
      <c r="B12" s="24"/>
      <c r="C12" s="25"/>
      <c r="D12" s="26"/>
      <c r="E12" s="27"/>
      <c r="F12" s="28"/>
      <c r="G12" s="29"/>
      <c r="H12" s="30"/>
      <c r="I12" s="29"/>
      <c r="J12" s="31"/>
      <c r="K12" s="29"/>
      <c r="L12" s="32"/>
      <c r="M12" s="33"/>
      <c r="N12" s="33"/>
      <c r="O12" s="33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x14ac:dyDescent="0.25">
      <c r="A13" s="24" t="s">
        <v>36</v>
      </c>
      <c r="B13" s="24" t="s">
        <v>37</v>
      </c>
      <c r="C13" s="25">
        <v>112</v>
      </c>
      <c r="D13" s="26">
        <f t="shared" ref="D13:D16" si="7">PRODUCT(C13,$D$2)</f>
        <v>257.59999999999997</v>
      </c>
      <c r="E13" s="27">
        <v>85.03</v>
      </c>
      <c r="F13" s="28">
        <f t="shared" ref="F13:F16" si="8">SUM(D13:E13)</f>
        <v>342.63</v>
      </c>
      <c r="G13" s="29">
        <f t="shared" ref="G13:G16" si="9">PRODUCT(E13,$G$2)</f>
        <v>127.545</v>
      </c>
      <c r="H13" s="30">
        <f t="shared" si="2"/>
        <v>385.14499999999998</v>
      </c>
      <c r="I13" s="29">
        <f t="shared" ref="I13:I16" si="10">PRODUCT(E13,$I$2)</f>
        <v>159.85639999999998</v>
      </c>
      <c r="J13" s="31">
        <f t="shared" ref="J13:J16" si="11">SUM(D13,I13)</f>
        <v>417.45639999999992</v>
      </c>
      <c r="K13" s="29">
        <v>453.44</v>
      </c>
      <c r="L13" s="32">
        <f t="shared" ref="L13:L16" si="12">SUM(D13,K13)</f>
        <v>711.04</v>
      </c>
      <c r="M13" s="33">
        <v>800</v>
      </c>
      <c r="N13" s="33">
        <v>2160</v>
      </c>
      <c r="O13" s="33">
        <v>570</v>
      </c>
      <c r="P13" s="24" t="s">
        <v>24</v>
      </c>
      <c r="Q13" s="24" t="s">
        <v>38</v>
      </c>
      <c r="R13" s="24">
        <v>2</v>
      </c>
      <c r="S13" s="24">
        <v>2155</v>
      </c>
      <c r="T13" s="24">
        <v>395</v>
      </c>
      <c r="U13" s="24"/>
      <c r="V13" s="24"/>
      <c r="W13" s="24"/>
      <c r="X13" s="24"/>
      <c r="Y13" s="24"/>
      <c r="Z13" s="24"/>
    </row>
    <row r="14" spans="1:26" x14ac:dyDescent="0.25">
      <c r="A14" s="24" t="s">
        <v>39</v>
      </c>
      <c r="B14" s="24" t="s">
        <v>40</v>
      </c>
      <c r="C14" s="25">
        <v>114</v>
      </c>
      <c r="D14" s="26">
        <f t="shared" si="7"/>
        <v>262.2</v>
      </c>
      <c r="E14" s="27">
        <v>93.24</v>
      </c>
      <c r="F14" s="28">
        <f t="shared" si="8"/>
        <v>355.44</v>
      </c>
      <c r="G14" s="29">
        <f t="shared" si="9"/>
        <v>139.85999999999999</v>
      </c>
      <c r="H14" s="30">
        <f t="shared" si="2"/>
        <v>402.05999999999995</v>
      </c>
      <c r="I14" s="29">
        <f t="shared" si="10"/>
        <v>175.29119999999998</v>
      </c>
      <c r="J14" s="31">
        <f t="shared" si="11"/>
        <v>437.49119999999994</v>
      </c>
      <c r="K14" s="29">
        <v>453.44</v>
      </c>
      <c r="L14" s="32">
        <f t="shared" si="12"/>
        <v>715.64</v>
      </c>
      <c r="M14" s="33">
        <v>900</v>
      </c>
      <c r="N14" s="33">
        <v>2160</v>
      </c>
      <c r="O14" s="33">
        <v>570</v>
      </c>
      <c r="P14" s="24" t="s">
        <v>24</v>
      </c>
      <c r="Q14" s="24" t="s">
        <v>38</v>
      </c>
      <c r="R14" s="24">
        <v>2</v>
      </c>
      <c r="S14" s="24">
        <v>2155</v>
      </c>
      <c r="T14" s="24">
        <v>445</v>
      </c>
      <c r="U14" s="24"/>
      <c r="V14" s="24"/>
      <c r="W14" s="24"/>
      <c r="X14" s="24"/>
      <c r="Y14" s="24"/>
      <c r="Z14" s="24"/>
    </row>
    <row r="15" spans="1:26" x14ac:dyDescent="0.25">
      <c r="A15" s="24" t="s">
        <v>41</v>
      </c>
      <c r="B15" s="24" t="s">
        <v>42</v>
      </c>
      <c r="C15" s="25">
        <v>116</v>
      </c>
      <c r="D15" s="26">
        <f t="shared" si="7"/>
        <v>266.79999999999995</v>
      </c>
      <c r="E15" s="27">
        <v>101.96</v>
      </c>
      <c r="F15" s="28">
        <f t="shared" si="8"/>
        <v>368.75999999999993</v>
      </c>
      <c r="G15" s="29">
        <f t="shared" si="9"/>
        <v>152.94</v>
      </c>
      <c r="H15" s="30">
        <f t="shared" si="2"/>
        <v>419.73999999999995</v>
      </c>
      <c r="I15" s="29">
        <f t="shared" si="10"/>
        <v>191.68479999999997</v>
      </c>
      <c r="J15" s="31">
        <f t="shared" si="11"/>
        <v>458.48479999999995</v>
      </c>
      <c r="K15" s="29">
        <v>906.88</v>
      </c>
      <c r="L15" s="32">
        <f t="shared" si="12"/>
        <v>1173.6799999999998</v>
      </c>
      <c r="M15" s="33">
        <v>1000</v>
      </c>
      <c r="N15" s="33">
        <v>2160</v>
      </c>
      <c r="O15" s="33">
        <v>570</v>
      </c>
      <c r="P15" s="24" t="s">
        <v>24</v>
      </c>
      <c r="Q15" s="24" t="s">
        <v>38</v>
      </c>
      <c r="R15" s="24">
        <v>2</v>
      </c>
      <c r="S15" s="24">
        <v>2155</v>
      </c>
      <c r="T15" s="24">
        <v>495</v>
      </c>
      <c r="U15" s="24"/>
      <c r="V15" s="24"/>
      <c r="W15" s="24"/>
      <c r="X15" s="24"/>
      <c r="Y15" s="24"/>
      <c r="Z15" s="24"/>
    </row>
    <row r="16" spans="1:26" x14ac:dyDescent="0.25">
      <c r="A16" s="24" t="s">
        <v>43</v>
      </c>
      <c r="B16" s="24" t="s">
        <v>44</v>
      </c>
      <c r="C16" s="25">
        <v>118</v>
      </c>
      <c r="D16" s="26">
        <f t="shared" si="7"/>
        <v>271.39999999999998</v>
      </c>
      <c r="E16" s="27">
        <v>117.58</v>
      </c>
      <c r="F16" s="28">
        <f t="shared" si="8"/>
        <v>388.97999999999996</v>
      </c>
      <c r="G16" s="29">
        <f t="shared" si="9"/>
        <v>176.37</v>
      </c>
      <c r="H16" s="30">
        <f t="shared" si="2"/>
        <v>447.77</v>
      </c>
      <c r="I16" s="29">
        <f t="shared" si="10"/>
        <v>221.0504</v>
      </c>
      <c r="J16" s="31">
        <f t="shared" si="11"/>
        <v>492.45039999999995</v>
      </c>
      <c r="K16" s="29">
        <v>906.88</v>
      </c>
      <c r="L16" s="32">
        <f t="shared" si="12"/>
        <v>1178.28</v>
      </c>
      <c r="M16" s="33">
        <v>1200</v>
      </c>
      <c r="N16" s="33">
        <v>2160</v>
      </c>
      <c r="O16" s="33">
        <v>570</v>
      </c>
      <c r="P16" s="24" t="s">
        <v>24</v>
      </c>
      <c r="Q16" s="24" t="s">
        <v>38</v>
      </c>
      <c r="R16" s="24">
        <v>2</v>
      </c>
      <c r="S16" s="24">
        <v>2155</v>
      </c>
      <c r="T16" s="24">
        <v>595</v>
      </c>
      <c r="U16" s="24"/>
      <c r="V16" s="24"/>
      <c r="W16" s="24"/>
      <c r="X16" s="24"/>
      <c r="Y16" s="24"/>
      <c r="Z16" s="24"/>
    </row>
    <row r="17" spans="1:29" x14ac:dyDescent="0.25">
      <c r="A17" s="24"/>
      <c r="B17" s="24"/>
      <c r="C17" s="25"/>
      <c r="D17" s="26"/>
      <c r="E17" s="27"/>
      <c r="F17" s="28"/>
      <c r="G17" s="29"/>
      <c r="H17" s="30"/>
      <c r="I17" s="29"/>
      <c r="J17" s="31"/>
      <c r="K17" s="29"/>
      <c r="L17" s="32"/>
      <c r="M17" s="33"/>
      <c r="N17" s="33"/>
      <c r="O17" s="33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9" x14ac:dyDescent="0.25">
      <c r="A18" s="24" t="s">
        <v>45</v>
      </c>
      <c r="B18" s="24" t="s">
        <v>46</v>
      </c>
      <c r="C18" s="25">
        <v>148</v>
      </c>
      <c r="D18" s="26">
        <f t="shared" ref="D18" si="13">PRODUCT(C18,$D$2)</f>
        <v>340.4</v>
      </c>
      <c r="E18" s="27">
        <v>101.96</v>
      </c>
      <c r="F18" s="28">
        <f t="shared" ref="F18" si="14">SUM(D18:E18)</f>
        <v>442.35999999999996</v>
      </c>
      <c r="G18" s="29">
        <f>PRODUCT(E18,$G$2)</f>
        <v>152.94</v>
      </c>
      <c r="H18" s="30">
        <f t="shared" si="2"/>
        <v>493.34</v>
      </c>
      <c r="I18" s="29">
        <f t="shared" ref="I18" si="15">PRODUCT(E18,$I$2)</f>
        <v>191.68479999999997</v>
      </c>
      <c r="J18" s="31">
        <f t="shared" ref="J18" si="16">SUM(D18,I18)</f>
        <v>532.08479999999997</v>
      </c>
      <c r="K18" s="29">
        <v>906.88</v>
      </c>
      <c r="L18" s="32">
        <f>SUM(D18,K18)</f>
        <v>1247.28</v>
      </c>
      <c r="M18" s="33"/>
      <c r="N18" s="33">
        <v>2160</v>
      </c>
      <c r="O18" s="33">
        <v>570</v>
      </c>
      <c r="P18" s="24" t="s">
        <v>24</v>
      </c>
      <c r="Q18" s="24" t="s">
        <v>38</v>
      </c>
      <c r="R18" s="24">
        <v>1</v>
      </c>
      <c r="S18" s="24">
        <v>2155</v>
      </c>
      <c r="T18" s="24">
        <v>495</v>
      </c>
      <c r="U18" s="24"/>
      <c r="V18" s="24"/>
      <c r="W18" s="24"/>
      <c r="X18" s="24"/>
      <c r="Y18" s="24"/>
      <c r="Z18" s="24"/>
    </row>
    <row r="19" spans="1:29" x14ac:dyDescent="0.25">
      <c r="A19" s="24"/>
      <c r="B19" s="36" t="s">
        <v>47</v>
      </c>
      <c r="C19" s="25"/>
      <c r="D19" s="26"/>
      <c r="E19" s="27"/>
      <c r="F19" s="28"/>
      <c r="G19" s="29"/>
      <c r="H19" s="30"/>
      <c r="I19" s="29"/>
      <c r="J19" s="31"/>
      <c r="K19" s="29"/>
      <c r="L19" s="32"/>
      <c r="M19" s="33"/>
      <c r="N19" s="33"/>
      <c r="O19" s="33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9" x14ac:dyDescent="0.25">
      <c r="A20" s="24"/>
      <c r="B20" s="36"/>
      <c r="C20" s="25"/>
      <c r="D20" s="26"/>
      <c r="E20" s="27"/>
      <c r="F20" s="28"/>
      <c r="G20" s="29"/>
      <c r="H20" s="30"/>
      <c r="I20" s="29"/>
      <c r="J20" s="31"/>
      <c r="K20" s="29"/>
      <c r="L20" s="32"/>
      <c r="M20" s="33"/>
      <c r="N20" s="33"/>
      <c r="O20" s="33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9" x14ac:dyDescent="0.25">
      <c r="A21" s="24" t="s">
        <v>48</v>
      </c>
      <c r="B21" s="37" t="s">
        <v>49</v>
      </c>
      <c r="C21" s="25">
        <v>50</v>
      </c>
      <c r="D21" s="26">
        <f t="shared" ref="D21:D23" si="17">PRODUCT(C21,$D$2)</f>
        <v>114.99999999999999</v>
      </c>
      <c r="E21" s="27" t="s">
        <v>50</v>
      </c>
      <c r="F21" s="28"/>
      <c r="G21" s="29"/>
      <c r="H21" s="30"/>
      <c r="I21" s="29"/>
      <c r="J21" s="31"/>
      <c r="K21" s="29"/>
      <c r="L21" s="32"/>
      <c r="M21" s="33"/>
      <c r="N21" s="33"/>
      <c r="O21" s="33"/>
      <c r="P21" s="24" t="s">
        <v>24</v>
      </c>
      <c r="Q21" s="24" t="s">
        <v>51</v>
      </c>
      <c r="R21" s="24"/>
      <c r="S21" s="24"/>
      <c r="T21" s="24"/>
      <c r="U21" s="24"/>
      <c r="V21" s="24"/>
      <c r="W21" s="24"/>
      <c r="X21" s="24"/>
      <c r="Y21" s="24"/>
      <c r="Z21" s="24"/>
    </row>
    <row r="22" spans="1:29" x14ac:dyDescent="0.25">
      <c r="A22" s="24" t="s">
        <v>52</v>
      </c>
      <c r="B22" s="24" t="s">
        <v>53</v>
      </c>
      <c r="C22" s="25">
        <v>22</v>
      </c>
      <c r="D22" s="26">
        <f t="shared" si="17"/>
        <v>50.599999999999994</v>
      </c>
      <c r="E22" s="27"/>
      <c r="F22" s="28"/>
      <c r="G22" s="29"/>
      <c r="H22" s="30"/>
      <c r="I22" s="29"/>
      <c r="J22" s="31"/>
      <c r="K22" s="29"/>
      <c r="L22" s="32"/>
      <c r="M22" s="33"/>
      <c r="N22" s="33">
        <v>120</v>
      </c>
      <c r="O22" s="33">
        <v>570</v>
      </c>
      <c r="P22" s="24" t="s">
        <v>24</v>
      </c>
      <c r="Q22" s="24" t="s">
        <v>54</v>
      </c>
      <c r="R22" s="24"/>
      <c r="S22" s="24"/>
      <c r="T22" s="24"/>
      <c r="U22" s="24"/>
      <c r="V22" s="24"/>
      <c r="W22" s="24"/>
      <c r="X22" s="24"/>
      <c r="Y22" s="24"/>
      <c r="Z22" s="24"/>
      <c r="AA22" s="38"/>
      <c r="AC22" s="38"/>
    </row>
    <row r="23" spans="1:29" x14ac:dyDescent="0.25">
      <c r="A23" s="24" t="s">
        <v>55</v>
      </c>
      <c r="B23" s="24" t="s">
        <v>56</v>
      </c>
      <c r="C23" s="25">
        <v>60</v>
      </c>
      <c r="D23" s="26">
        <f t="shared" si="17"/>
        <v>138</v>
      </c>
      <c r="E23" s="27"/>
      <c r="F23" s="28"/>
      <c r="G23" s="29"/>
      <c r="H23" s="30"/>
      <c r="I23" s="29"/>
      <c r="J23" s="31"/>
      <c r="K23" s="29"/>
      <c r="L23" s="32"/>
      <c r="M23" s="33"/>
      <c r="N23" s="33">
        <v>120</v>
      </c>
      <c r="O23" s="33">
        <v>570</v>
      </c>
      <c r="P23" s="24" t="s">
        <v>24</v>
      </c>
      <c r="Q23" s="24" t="s">
        <v>54</v>
      </c>
      <c r="R23" s="24"/>
      <c r="S23" s="24"/>
      <c r="T23" s="24"/>
      <c r="U23" s="24"/>
      <c r="V23" s="24"/>
      <c r="W23" s="24"/>
      <c r="X23" s="24"/>
      <c r="Y23" s="24"/>
      <c r="Z23" s="24"/>
      <c r="AA23" s="38"/>
      <c r="AC23" s="38"/>
    </row>
    <row r="24" spans="1:29" x14ac:dyDescent="0.25">
      <c r="A24" s="24"/>
      <c r="B24" s="24"/>
      <c r="C24" s="39"/>
      <c r="D24" s="40"/>
      <c r="E24" s="41"/>
      <c r="F24" s="42"/>
      <c r="G24" s="43"/>
      <c r="H24" s="30"/>
      <c r="I24" s="43"/>
      <c r="J24" s="44"/>
      <c r="K24" s="43"/>
      <c r="L24" s="45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9" x14ac:dyDescent="0.25">
      <c r="A25" s="24"/>
      <c r="B25" s="24"/>
      <c r="C25" s="25"/>
      <c r="D25" s="26"/>
      <c r="E25" s="27"/>
      <c r="F25" s="28"/>
      <c r="G25" s="29"/>
      <c r="H25" s="30"/>
      <c r="I25" s="29"/>
      <c r="J25" s="31"/>
      <c r="K25" s="29"/>
      <c r="L25" s="32"/>
      <c r="M25" s="33"/>
      <c r="N25" s="33"/>
      <c r="O25" s="33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9" x14ac:dyDescent="0.25">
      <c r="A26" s="24" t="s">
        <v>57</v>
      </c>
      <c r="B26" s="37" t="s">
        <v>58</v>
      </c>
      <c r="C26" s="25">
        <v>170</v>
      </c>
      <c r="D26" s="26">
        <f t="shared" ref="D26:D28" si="18">PRODUCT(C26,$D$2)</f>
        <v>390.99999999999994</v>
      </c>
      <c r="E26" s="27"/>
      <c r="F26" s="28"/>
      <c r="G26" s="29"/>
      <c r="H26" s="30"/>
      <c r="I26" s="29"/>
      <c r="J26" s="31"/>
      <c r="K26" s="29"/>
      <c r="L26" s="32"/>
      <c r="M26" s="33">
        <v>1000</v>
      </c>
      <c r="N26" s="33">
        <v>2160</v>
      </c>
      <c r="O26" s="33">
        <v>660</v>
      </c>
      <c r="P26" s="24" t="s">
        <v>24</v>
      </c>
      <c r="Q26" s="24" t="s">
        <v>59</v>
      </c>
      <c r="R26" s="24"/>
      <c r="S26" s="24"/>
      <c r="T26" s="24"/>
      <c r="U26" s="24"/>
      <c r="V26" s="24"/>
      <c r="W26" s="24"/>
      <c r="X26" s="24"/>
      <c r="Y26" s="24"/>
      <c r="Z26" s="24"/>
    </row>
    <row r="27" spans="1:29" x14ac:dyDescent="0.25">
      <c r="A27" s="24" t="s">
        <v>60</v>
      </c>
      <c r="B27" s="37" t="s">
        <v>61</v>
      </c>
      <c r="C27" s="25">
        <v>170</v>
      </c>
      <c r="D27" s="26">
        <f t="shared" si="18"/>
        <v>390.99999999999994</v>
      </c>
      <c r="E27" s="27"/>
      <c r="F27" s="28"/>
      <c r="G27" s="29"/>
      <c r="H27" s="30"/>
      <c r="I27" s="29"/>
      <c r="J27" s="31"/>
      <c r="K27" s="29"/>
      <c r="L27" s="32"/>
      <c r="M27" s="33">
        <v>1000</v>
      </c>
      <c r="N27" s="33">
        <v>2160</v>
      </c>
      <c r="O27" s="33">
        <v>660</v>
      </c>
      <c r="P27" s="24" t="s">
        <v>24</v>
      </c>
      <c r="Q27" s="24" t="s">
        <v>59</v>
      </c>
      <c r="R27" s="24"/>
      <c r="S27" s="24"/>
      <c r="T27" s="24"/>
      <c r="U27" s="24"/>
      <c r="V27" s="24"/>
      <c r="W27" s="24"/>
      <c r="X27" s="24"/>
      <c r="Y27" s="24"/>
      <c r="Z27" s="24"/>
    </row>
    <row r="28" spans="1:29" x14ac:dyDescent="0.25">
      <c r="A28" s="24" t="s">
        <v>62</v>
      </c>
      <c r="B28" s="37" t="s">
        <v>63</v>
      </c>
      <c r="C28" s="25">
        <v>200</v>
      </c>
      <c r="D28" s="26">
        <f t="shared" si="18"/>
        <v>459.99999999999994</v>
      </c>
      <c r="E28" s="27"/>
      <c r="F28" s="28"/>
      <c r="G28" s="29"/>
      <c r="H28" s="30"/>
      <c r="I28" s="29"/>
      <c r="J28" s="31"/>
      <c r="K28" s="29"/>
      <c r="L28" s="32"/>
      <c r="M28" s="33">
        <v>1000</v>
      </c>
      <c r="N28" s="33">
        <v>2160</v>
      </c>
      <c r="O28" s="33">
        <v>660</v>
      </c>
      <c r="P28" s="24" t="s">
        <v>24</v>
      </c>
      <c r="Q28" s="24" t="s">
        <v>59</v>
      </c>
      <c r="R28" s="24"/>
      <c r="S28" s="24"/>
      <c r="T28" s="24"/>
      <c r="U28" s="24"/>
      <c r="V28" s="24"/>
      <c r="W28" s="24"/>
      <c r="X28" s="24"/>
      <c r="Y28" s="24"/>
      <c r="Z28" s="24"/>
    </row>
    <row r="29" spans="1:29" x14ac:dyDescent="0.25">
      <c r="A29" s="24"/>
      <c r="B29" s="37"/>
      <c r="C29" s="25"/>
      <c r="D29" s="26"/>
      <c r="E29" s="27"/>
      <c r="F29" s="28"/>
      <c r="G29" s="29"/>
      <c r="H29" s="30"/>
      <c r="I29" s="29"/>
      <c r="J29" s="31"/>
      <c r="K29" s="29"/>
      <c r="L29" s="32"/>
      <c r="M29" s="33"/>
      <c r="N29" s="33"/>
      <c r="O29" s="33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9" x14ac:dyDescent="0.25">
      <c r="A30" s="24" t="s">
        <v>64</v>
      </c>
      <c r="B30" s="37" t="s">
        <v>65</v>
      </c>
      <c r="C30" s="25">
        <v>20</v>
      </c>
      <c r="D30" s="26">
        <f t="shared" ref="D30" si="19">PRODUCT(C30,$D$2)</f>
        <v>46</v>
      </c>
      <c r="E30" s="27"/>
      <c r="F30" s="28"/>
      <c r="G30" s="29"/>
      <c r="H30" s="30"/>
      <c r="I30" s="29"/>
      <c r="J30" s="31"/>
      <c r="K30" s="29"/>
      <c r="L30" s="32"/>
      <c r="M30" s="33"/>
      <c r="N30" s="33"/>
      <c r="O30" s="33"/>
      <c r="P30" s="24" t="s">
        <v>24</v>
      </c>
      <c r="Q30" s="24" t="s">
        <v>66</v>
      </c>
      <c r="R30" s="24"/>
      <c r="S30" s="24"/>
      <c r="T30" s="24"/>
      <c r="U30" s="24"/>
      <c r="V30" s="24"/>
      <c r="W30" s="24"/>
      <c r="X30" s="24"/>
      <c r="Y30" s="24"/>
      <c r="Z30" s="24"/>
    </row>
    <row r="31" spans="1:29" x14ac:dyDescent="0.25">
      <c r="A31" s="24"/>
      <c r="B31" s="24"/>
      <c r="C31" s="25"/>
      <c r="D31" s="26"/>
      <c r="E31" s="27"/>
      <c r="F31" s="28"/>
      <c r="G31" s="29"/>
      <c r="H31" s="30"/>
      <c r="I31" s="29"/>
      <c r="J31" s="31"/>
      <c r="K31" s="29"/>
      <c r="L31" s="32"/>
      <c r="M31" s="33"/>
      <c r="N31" s="33"/>
      <c r="O31" s="33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9" x14ac:dyDescent="0.25">
      <c r="A32" s="24" t="s">
        <v>67</v>
      </c>
      <c r="B32" s="37" t="s">
        <v>68</v>
      </c>
      <c r="C32" s="25">
        <v>127</v>
      </c>
      <c r="D32" s="26">
        <f t="shared" ref="D32:D36" si="20">PRODUCT(C32,$D$2)</f>
        <v>292.09999999999997</v>
      </c>
      <c r="E32" s="27">
        <v>95.72</v>
      </c>
      <c r="F32" s="28">
        <f t="shared" ref="F32:F36" si="21">SUM(D32:E32)</f>
        <v>387.81999999999994</v>
      </c>
      <c r="G32" s="29">
        <f t="shared" ref="G32:G36" si="22">PRODUCT(E32,$G$2)</f>
        <v>143.57999999999998</v>
      </c>
      <c r="H32" s="30">
        <f t="shared" si="2"/>
        <v>435.67999999999995</v>
      </c>
      <c r="I32" s="29">
        <f t="shared" ref="I32:I36" si="23">PRODUCT(E32,$I$2)</f>
        <v>179.95359999999999</v>
      </c>
      <c r="J32" s="31">
        <f t="shared" ref="J32:J36" si="24">SUM(D32,I32)</f>
        <v>472.05359999999996</v>
      </c>
      <c r="K32" s="29"/>
      <c r="L32" s="32"/>
      <c r="M32" s="33">
        <v>400</v>
      </c>
      <c r="N32" s="33">
        <v>2160</v>
      </c>
      <c r="O32" s="33">
        <v>570</v>
      </c>
      <c r="P32" s="24" t="s">
        <v>69</v>
      </c>
      <c r="Q32" s="24"/>
      <c r="R32" s="24">
        <v>1</v>
      </c>
      <c r="S32" s="24">
        <v>1495</v>
      </c>
      <c r="T32" s="24">
        <v>395</v>
      </c>
      <c r="U32" s="24">
        <v>3</v>
      </c>
      <c r="V32" s="24">
        <v>215</v>
      </c>
      <c r="W32" s="24">
        <v>395</v>
      </c>
      <c r="X32" s="24"/>
      <c r="Y32" s="24"/>
      <c r="Z32" s="24"/>
    </row>
    <row r="33" spans="1:26" x14ac:dyDescent="0.25">
      <c r="A33" s="24" t="s">
        <v>70</v>
      </c>
      <c r="B33" s="37" t="s">
        <v>71</v>
      </c>
      <c r="C33" s="25">
        <v>128</v>
      </c>
      <c r="D33" s="26">
        <f t="shared" si="20"/>
        <v>294.39999999999998</v>
      </c>
      <c r="E33" s="27">
        <v>114.19</v>
      </c>
      <c r="F33" s="28">
        <f t="shared" si="21"/>
        <v>408.59</v>
      </c>
      <c r="G33" s="29">
        <f t="shared" si="22"/>
        <v>171.285</v>
      </c>
      <c r="H33" s="30">
        <f t="shared" si="2"/>
        <v>465.68499999999995</v>
      </c>
      <c r="I33" s="29">
        <f t="shared" si="23"/>
        <v>214.67719999999997</v>
      </c>
      <c r="J33" s="31">
        <f t="shared" si="24"/>
        <v>509.07719999999995</v>
      </c>
      <c r="K33" s="29"/>
      <c r="L33" s="32"/>
      <c r="M33" s="33">
        <v>500</v>
      </c>
      <c r="N33" s="33">
        <v>2160</v>
      </c>
      <c r="O33" s="33">
        <v>570</v>
      </c>
      <c r="P33" s="24" t="s">
        <v>69</v>
      </c>
      <c r="Q33" s="24"/>
      <c r="R33" s="24">
        <v>1</v>
      </c>
      <c r="S33" s="24">
        <v>1495</v>
      </c>
      <c r="T33" s="24">
        <v>495</v>
      </c>
      <c r="U33" s="24">
        <v>3</v>
      </c>
      <c r="V33" s="24">
        <v>215</v>
      </c>
      <c r="W33" s="24">
        <v>495</v>
      </c>
      <c r="X33" s="24"/>
      <c r="Y33" s="24"/>
      <c r="Z33" s="24"/>
    </row>
    <row r="34" spans="1:26" x14ac:dyDescent="0.25">
      <c r="A34" s="24" t="s">
        <v>72</v>
      </c>
      <c r="B34" s="37" t="s">
        <v>73</v>
      </c>
      <c r="C34" s="25">
        <v>129</v>
      </c>
      <c r="D34" s="26">
        <f t="shared" si="20"/>
        <v>296.7</v>
      </c>
      <c r="E34" s="27">
        <v>132.49</v>
      </c>
      <c r="F34" s="28">
        <f t="shared" si="21"/>
        <v>429.19</v>
      </c>
      <c r="G34" s="29">
        <f t="shared" si="22"/>
        <v>198.73500000000001</v>
      </c>
      <c r="H34" s="30">
        <f t="shared" si="2"/>
        <v>495.435</v>
      </c>
      <c r="I34" s="29">
        <f t="shared" si="23"/>
        <v>249.0812</v>
      </c>
      <c r="J34" s="31">
        <f t="shared" si="24"/>
        <v>545.78120000000001</v>
      </c>
      <c r="K34" s="29"/>
      <c r="L34" s="32"/>
      <c r="M34" s="33">
        <v>600</v>
      </c>
      <c r="N34" s="33">
        <v>2160</v>
      </c>
      <c r="O34" s="33">
        <v>570</v>
      </c>
      <c r="P34" s="24" t="s">
        <v>69</v>
      </c>
      <c r="Q34" s="24"/>
      <c r="R34" s="24">
        <v>1</v>
      </c>
      <c r="S34" s="24">
        <v>1495</v>
      </c>
      <c r="T34" s="24">
        <v>595</v>
      </c>
      <c r="U34" s="24">
        <v>3</v>
      </c>
      <c r="V34" s="24">
        <v>215</v>
      </c>
      <c r="W34" s="24">
        <v>595</v>
      </c>
      <c r="X34" s="24"/>
      <c r="Y34" s="24"/>
      <c r="Z34" s="24"/>
    </row>
    <row r="35" spans="1:26" x14ac:dyDescent="0.25">
      <c r="A35" s="24" t="s">
        <v>74</v>
      </c>
      <c r="B35" s="37" t="s">
        <v>75</v>
      </c>
      <c r="C35" s="25">
        <v>136</v>
      </c>
      <c r="D35" s="26">
        <f t="shared" si="20"/>
        <v>312.79999999999995</v>
      </c>
      <c r="E35" s="27">
        <v>182.04</v>
      </c>
      <c r="F35" s="28">
        <f t="shared" si="21"/>
        <v>494.83999999999992</v>
      </c>
      <c r="G35" s="29">
        <f t="shared" si="22"/>
        <v>273.06</v>
      </c>
      <c r="H35" s="30">
        <f t="shared" si="2"/>
        <v>585.8599999999999</v>
      </c>
      <c r="I35" s="29">
        <f t="shared" si="23"/>
        <v>342.23519999999996</v>
      </c>
      <c r="J35" s="31">
        <f t="shared" si="24"/>
        <v>655.03519999999992</v>
      </c>
      <c r="K35" s="29"/>
      <c r="L35" s="32"/>
      <c r="M35" s="33">
        <v>800</v>
      </c>
      <c r="N35" s="33">
        <v>2160</v>
      </c>
      <c r="O35" s="33">
        <v>570</v>
      </c>
      <c r="P35" s="24" t="s">
        <v>69</v>
      </c>
      <c r="Q35" s="24"/>
      <c r="R35" s="24">
        <v>1</v>
      </c>
      <c r="S35" s="24">
        <v>1495</v>
      </c>
      <c r="T35" s="24">
        <v>395</v>
      </c>
      <c r="U35" s="24">
        <v>3</v>
      </c>
      <c r="V35" s="24">
        <v>215</v>
      </c>
      <c r="W35" s="24">
        <v>795</v>
      </c>
      <c r="X35" s="24"/>
      <c r="Y35" s="24"/>
      <c r="Z35" s="24"/>
    </row>
    <row r="36" spans="1:26" x14ac:dyDescent="0.25">
      <c r="A36" s="24" t="s">
        <v>76</v>
      </c>
      <c r="B36" s="37" t="s">
        <v>77</v>
      </c>
      <c r="C36" s="25">
        <v>137</v>
      </c>
      <c r="D36" s="26">
        <f t="shared" si="20"/>
        <v>315.09999999999997</v>
      </c>
      <c r="E36" s="27">
        <v>222.64</v>
      </c>
      <c r="F36" s="28">
        <f t="shared" si="21"/>
        <v>537.74</v>
      </c>
      <c r="G36" s="29">
        <f t="shared" si="22"/>
        <v>333.96</v>
      </c>
      <c r="H36" s="30">
        <f t="shared" si="2"/>
        <v>649.05999999999995</v>
      </c>
      <c r="I36" s="29">
        <f t="shared" si="23"/>
        <v>418.56319999999994</v>
      </c>
      <c r="J36" s="31">
        <f t="shared" si="24"/>
        <v>733.66319999999996</v>
      </c>
      <c r="K36" s="29"/>
      <c r="L36" s="32"/>
      <c r="M36" s="33">
        <v>1000</v>
      </c>
      <c r="N36" s="33">
        <v>2160</v>
      </c>
      <c r="O36" s="33">
        <v>570</v>
      </c>
      <c r="P36" s="24" t="s">
        <v>69</v>
      </c>
      <c r="Q36" s="24"/>
      <c r="R36" s="24">
        <v>1</v>
      </c>
      <c r="S36" s="24">
        <v>1495</v>
      </c>
      <c r="T36" s="24">
        <v>495</v>
      </c>
      <c r="U36" s="24">
        <v>3</v>
      </c>
      <c r="V36" s="24">
        <v>215</v>
      </c>
      <c r="W36" s="24">
        <v>995</v>
      </c>
      <c r="X36" s="24"/>
      <c r="Y36" s="24"/>
      <c r="Z36" s="24"/>
    </row>
    <row r="37" spans="1:26" x14ac:dyDescent="0.25">
      <c r="A37" s="24"/>
      <c r="B37" s="36" t="s">
        <v>78</v>
      </c>
      <c r="C37" s="25"/>
      <c r="D37" s="26"/>
      <c r="E37" s="27"/>
      <c r="F37" s="28"/>
      <c r="G37" s="29"/>
      <c r="H37" s="30"/>
      <c r="I37" s="29"/>
      <c r="J37" s="31"/>
      <c r="K37" s="29"/>
      <c r="L37" s="32"/>
      <c r="M37" s="33"/>
      <c r="N37" s="33"/>
      <c r="O37" s="33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x14ac:dyDescent="0.25">
      <c r="A38" s="24"/>
      <c r="B38" s="37"/>
      <c r="C38" s="25"/>
      <c r="D38" s="26"/>
      <c r="E38" s="27"/>
      <c r="F38" s="28"/>
      <c r="G38" s="29"/>
      <c r="H38" s="30"/>
      <c r="I38" s="29"/>
      <c r="J38" s="31"/>
      <c r="K38" s="29"/>
      <c r="L38" s="32"/>
      <c r="M38" s="33"/>
      <c r="N38" s="33"/>
      <c r="O38" s="33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x14ac:dyDescent="0.25">
      <c r="A39" s="24" t="s">
        <v>79</v>
      </c>
      <c r="B39" s="37" t="s">
        <v>80</v>
      </c>
      <c r="C39" s="25">
        <v>36</v>
      </c>
      <c r="D39" s="26">
        <f t="shared" ref="D39:D44" si="25">PRODUCT(C39,$D$2)</f>
        <v>82.8</v>
      </c>
      <c r="E39" s="27">
        <v>23.26</v>
      </c>
      <c r="F39" s="28">
        <f t="shared" ref="F39:F50" si="26">SUM(D39:E39)</f>
        <v>106.06</v>
      </c>
      <c r="G39" s="29">
        <f t="shared" ref="G39:G44" si="27">PRODUCT(E39,$G$2)</f>
        <v>34.89</v>
      </c>
      <c r="H39" s="30">
        <f t="shared" si="2"/>
        <v>117.69</v>
      </c>
      <c r="I39" s="29">
        <f t="shared" ref="I39:I44" si="28">PRODUCT(E39,$I$2)</f>
        <v>43.7288</v>
      </c>
      <c r="J39" s="31">
        <f t="shared" ref="J39:J44" si="29">SUM(D39,I39)</f>
        <v>126.52879999999999</v>
      </c>
      <c r="K39" s="29"/>
      <c r="L39" s="32"/>
      <c r="M39" s="33">
        <v>400</v>
      </c>
      <c r="N39" s="33">
        <v>540</v>
      </c>
      <c r="O39" s="33">
        <v>570</v>
      </c>
      <c r="P39" s="24" t="s">
        <v>81</v>
      </c>
      <c r="Q39" s="24" t="s">
        <v>82</v>
      </c>
      <c r="R39" s="24">
        <v>1</v>
      </c>
      <c r="S39" s="24">
        <v>535</v>
      </c>
      <c r="T39" s="24">
        <v>395</v>
      </c>
      <c r="U39" s="24"/>
      <c r="V39" s="24"/>
      <c r="W39" s="24"/>
      <c r="X39" s="24"/>
      <c r="Y39" s="24"/>
      <c r="Z39" s="24"/>
    </row>
    <row r="40" spans="1:26" x14ac:dyDescent="0.25">
      <c r="A40" s="24" t="s">
        <v>83</v>
      </c>
      <c r="B40" s="37" t="s">
        <v>84</v>
      </c>
      <c r="C40" s="25">
        <v>38</v>
      </c>
      <c r="D40" s="26">
        <f t="shared" si="25"/>
        <v>87.399999999999991</v>
      </c>
      <c r="E40" s="27">
        <v>26.47</v>
      </c>
      <c r="F40" s="28">
        <f t="shared" si="26"/>
        <v>113.86999999999999</v>
      </c>
      <c r="G40" s="29">
        <f t="shared" si="27"/>
        <v>39.704999999999998</v>
      </c>
      <c r="H40" s="30">
        <f t="shared" si="2"/>
        <v>127.10499999999999</v>
      </c>
      <c r="I40" s="29">
        <f t="shared" si="28"/>
        <v>49.763599999999997</v>
      </c>
      <c r="J40" s="31">
        <f t="shared" si="29"/>
        <v>137.16359999999997</v>
      </c>
      <c r="K40" s="29"/>
      <c r="L40" s="32"/>
      <c r="M40" s="33">
        <v>500</v>
      </c>
      <c r="N40" s="33">
        <v>540</v>
      </c>
      <c r="O40" s="33">
        <v>570</v>
      </c>
      <c r="P40" s="24" t="s">
        <v>81</v>
      </c>
      <c r="Q40" s="24" t="s">
        <v>82</v>
      </c>
      <c r="R40" s="24">
        <v>1</v>
      </c>
      <c r="S40" s="24">
        <v>535</v>
      </c>
      <c r="T40" s="24">
        <v>495</v>
      </c>
      <c r="U40" s="24"/>
      <c r="V40" s="24"/>
      <c r="W40" s="24"/>
      <c r="X40" s="24"/>
      <c r="Y40" s="24"/>
      <c r="Z40" s="24"/>
    </row>
    <row r="41" spans="1:26" x14ac:dyDescent="0.25">
      <c r="A41" s="24" t="s">
        <v>85</v>
      </c>
      <c r="B41" s="37" t="s">
        <v>86</v>
      </c>
      <c r="C41" s="25">
        <v>40</v>
      </c>
      <c r="D41" s="26">
        <f t="shared" si="25"/>
        <v>92</v>
      </c>
      <c r="E41" s="27">
        <v>29.71</v>
      </c>
      <c r="F41" s="28">
        <f t="shared" si="26"/>
        <v>121.71000000000001</v>
      </c>
      <c r="G41" s="29">
        <f t="shared" si="27"/>
        <v>44.564999999999998</v>
      </c>
      <c r="H41" s="30">
        <f t="shared" si="2"/>
        <v>136.565</v>
      </c>
      <c r="I41" s="29">
        <f t="shared" si="28"/>
        <v>55.854799999999997</v>
      </c>
      <c r="J41" s="31">
        <f t="shared" si="29"/>
        <v>147.85480000000001</v>
      </c>
      <c r="K41" s="29"/>
      <c r="L41" s="32"/>
      <c r="M41" s="33">
        <v>600</v>
      </c>
      <c r="N41" s="33">
        <v>540</v>
      </c>
      <c r="O41" s="33">
        <v>570</v>
      </c>
      <c r="P41" s="24" t="s">
        <v>81</v>
      </c>
      <c r="Q41" s="24" t="s">
        <v>82</v>
      </c>
      <c r="R41" s="24">
        <v>1</v>
      </c>
      <c r="S41" s="24">
        <v>535</v>
      </c>
      <c r="T41" s="24">
        <v>595</v>
      </c>
      <c r="U41" s="24"/>
      <c r="V41" s="24"/>
      <c r="W41" s="24"/>
      <c r="X41" s="24"/>
      <c r="Y41" s="24"/>
      <c r="Z41" s="24"/>
    </row>
    <row r="42" spans="1:26" x14ac:dyDescent="0.25">
      <c r="A42" s="24" t="s">
        <v>87</v>
      </c>
      <c r="B42" s="37" t="s">
        <v>88</v>
      </c>
      <c r="C42" s="25">
        <v>45</v>
      </c>
      <c r="D42" s="26">
        <f t="shared" si="25"/>
        <v>103.49999999999999</v>
      </c>
      <c r="E42" s="27">
        <v>46.52</v>
      </c>
      <c r="F42" s="28">
        <f t="shared" si="26"/>
        <v>150.01999999999998</v>
      </c>
      <c r="G42" s="29">
        <f t="shared" si="27"/>
        <v>69.78</v>
      </c>
      <c r="H42" s="30">
        <f t="shared" si="2"/>
        <v>173.27999999999997</v>
      </c>
      <c r="I42" s="29">
        <f t="shared" si="28"/>
        <v>87.457599999999999</v>
      </c>
      <c r="J42" s="31">
        <f t="shared" si="29"/>
        <v>190.95759999999999</v>
      </c>
      <c r="K42" s="29"/>
      <c r="L42" s="32"/>
      <c r="M42" s="33">
        <v>800</v>
      </c>
      <c r="N42" s="33">
        <v>540</v>
      </c>
      <c r="O42" s="33">
        <v>570</v>
      </c>
      <c r="P42" s="24" t="s">
        <v>81</v>
      </c>
      <c r="Q42" s="24" t="s">
        <v>82</v>
      </c>
      <c r="R42" s="24">
        <v>2</v>
      </c>
      <c r="S42" s="24">
        <v>535</v>
      </c>
      <c r="T42" s="24">
        <v>395</v>
      </c>
      <c r="U42" s="24"/>
      <c r="V42" s="24"/>
      <c r="W42" s="24"/>
      <c r="X42" s="24"/>
      <c r="Y42" s="24"/>
      <c r="Z42" s="24"/>
    </row>
    <row r="43" spans="1:26" x14ac:dyDescent="0.25">
      <c r="A43" s="24" t="s">
        <v>89</v>
      </c>
      <c r="B43" s="37" t="s">
        <v>90</v>
      </c>
      <c r="C43" s="25">
        <v>47</v>
      </c>
      <c r="D43" s="26">
        <f t="shared" si="25"/>
        <v>108.1</v>
      </c>
      <c r="E43" s="27">
        <v>52.94</v>
      </c>
      <c r="F43" s="28">
        <f t="shared" si="26"/>
        <v>161.04</v>
      </c>
      <c r="G43" s="29">
        <f t="shared" si="27"/>
        <v>79.41</v>
      </c>
      <c r="H43" s="30">
        <f t="shared" si="2"/>
        <v>187.51</v>
      </c>
      <c r="I43" s="29">
        <f t="shared" si="28"/>
        <v>99.527199999999993</v>
      </c>
      <c r="J43" s="31">
        <f t="shared" si="29"/>
        <v>207.62719999999999</v>
      </c>
      <c r="K43" s="29"/>
      <c r="L43" s="32"/>
      <c r="M43" s="33">
        <v>1000</v>
      </c>
      <c r="N43" s="33">
        <v>540</v>
      </c>
      <c r="O43" s="33">
        <v>570</v>
      </c>
      <c r="P43" s="24" t="s">
        <v>81</v>
      </c>
      <c r="Q43" s="24" t="s">
        <v>82</v>
      </c>
      <c r="R43" s="24">
        <v>2</v>
      </c>
      <c r="S43" s="24">
        <v>535</v>
      </c>
      <c r="T43" s="24">
        <v>495</v>
      </c>
      <c r="U43" s="24"/>
      <c r="V43" s="24"/>
      <c r="W43" s="24"/>
      <c r="X43" s="24"/>
      <c r="Y43" s="24"/>
      <c r="Z43" s="24"/>
    </row>
    <row r="44" spans="1:26" x14ac:dyDescent="0.25">
      <c r="A44" s="24" t="s">
        <v>91</v>
      </c>
      <c r="B44" s="37" t="s">
        <v>92</v>
      </c>
      <c r="C44" s="25">
        <v>49</v>
      </c>
      <c r="D44" s="26">
        <f t="shared" si="25"/>
        <v>112.69999999999999</v>
      </c>
      <c r="E44" s="27">
        <v>59.42</v>
      </c>
      <c r="F44" s="28">
        <f t="shared" si="26"/>
        <v>172.12</v>
      </c>
      <c r="G44" s="29">
        <f t="shared" si="27"/>
        <v>89.13</v>
      </c>
      <c r="H44" s="30">
        <f t="shared" si="2"/>
        <v>201.82999999999998</v>
      </c>
      <c r="I44" s="29">
        <f t="shared" si="28"/>
        <v>111.70959999999999</v>
      </c>
      <c r="J44" s="31">
        <f t="shared" si="29"/>
        <v>224.40959999999998</v>
      </c>
      <c r="K44" s="29"/>
      <c r="L44" s="32"/>
      <c r="M44" s="33">
        <v>1200</v>
      </c>
      <c r="N44" s="33">
        <v>540</v>
      </c>
      <c r="O44" s="33">
        <v>570</v>
      </c>
      <c r="P44" s="24" t="s">
        <v>81</v>
      </c>
      <c r="Q44" s="24" t="s">
        <v>82</v>
      </c>
      <c r="R44" s="24">
        <v>2</v>
      </c>
      <c r="S44" s="24">
        <v>535</v>
      </c>
      <c r="T44" s="24">
        <v>595</v>
      </c>
      <c r="U44" s="24"/>
      <c r="V44" s="24"/>
      <c r="W44" s="24"/>
      <c r="X44" s="24"/>
      <c r="Y44" s="24"/>
      <c r="Z44" s="24"/>
    </row>
    <row r="45" spans="1:26" x14ac:dyDescent="0.25">
      <c r="A45" s="24"/>
      <c r="B45" s="37"/>
      <c r="C45" s="25"/>
      <c r="D45" s="26"/>
      <c r="E45" s="27"/>
      <c r="F45" s="28"/>
      <c r="G45" s="29"/>
      <c r="H45" s="30"/>
      <c r="I45" s="29"/>
      <c r="J45" s="31"/>
      <c r="K45" s="29"/>
      <c r="L45" s="32"/>
      <c r="M45" s="33"/>
      <c r="N45" s="33"/>
      <c r="O45" s="33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x14ac:dyDescent="0.25">
      <c r="A46" s="24" t="s">
        <v>93</v>
      </c>
      <c r="B46" s="37" t="s">
        <v>94</v>
      </c>
      <c r="C46" s="25">
        <v>82</v>
      </c>
      <c r="D46" s="26">
        <f t="shared" ref="D46:D49" si="30">PRODUCT(C46,$D$2)</f>
        <v>188.6</v>
      </c>
      <c r="E46" s="27">
        <v>37.89</v>
      </c>
      <c r="F46" s="28">
        <f t="shared" si="26"/>
        <v>226.49</v>
      </c>
      <c r="G46" s="29">
        <f t="shared" ref="G46:G50" si="31">PRODUCT(E46,$G$2)</f>
        <v>56.835000000000001</v>
      </c>
      <c r="H46" s="30">
        <f t="shared" si="2"/>
        <v>245.435</v>
      </c>
      <c r="I46" s="29">
        <f t="shared" ref="I46:I50" si="32">PRODUCT(E46,$I$2)</f>
        <v>71.233199999999997</v>
      </c>
      <c r="J46" s="31">
        <f t="shared" ref="J46:J50" si="33">SUM(D46,I46)</f>
        <v>259.83319999999998</v>
      </c>
      <c r="K46" s="29"/>
      <c r="L46" s="32"/>
      <c r="M46" s="33">
        <v>400</v>
      </c>
      <c r="N46" s="33">
        <v>760</v>
      </c>
      <c r="O46" s="33">
        <v>490</v>
      </c>
      <c r="P46" s="24" t="s">
        <v>95</v>
      </c>
      <c r="Q46" s="24" t="s">
        <v>96</v>
      </c>
      <c r="R46" s="24">
        <v>3</v>
      </c>
      <c r="S46" s="24">
        <v>215</v>
      </c>
      <c r="T46" s="24">
        <v>395</v>
      </c>
      <c r="U46" s="24"/>
      <c r="V46" s="24"/>
      <c r="W46" s="24"/>
      <c r="X46" s="24"/>
      <c r="Y46" s="24"/>
      <c r="Z46" s="24"/>
    </row>
    <row r="47" spans="1:26" x14ac:dyDescent="0.25">
      <c r="A47" s="24" t="s">
        <v>97</v>
      </c>
      <c r="B47" s="37" t="s">
        <v>98</v>
      </c>
      <c r="C47" s="25">
        <v>84</v>
      </c>
      <c r="D47" s="26">
        <f t="shared" si="30"/>
        <v>193.2</v>
      </c>
      <c r="E47" s="27">
        <v>45.12</v>
      </c>
      <c r="F47" s="28">
        <f t="shared" si="26"/>
        <v>238.32</v>
      </c>
      <c r="G47" s="29">
        <f t="shared" si="31"/>
        <v>67.679999999999993</v>
      </c>
      <c r="H47" s="30">
        <f t="shared" si="2"/>
        <v>260.88</v>
      </c>
      <c r="I47" s="29">
        <f t="shared" si="32"/>
        <v>84.825599999999994</v>
      </c>
      <c r="J47" s="31">
        <f t="shared" si="33"/>
        <v>278.0256</v>
      </c>
      <c r="K47" s="29"/>
      <c r="L47" s="32"/>
      <c r="M47" s="33">
        <v>500</v>
      </c>
      <c r="N47" s="33">
        <v>760</v>
      </c>
      <c r="O47" s="33">
        <v>490</v>
      </c>
      <c r="P47" s="24" t="s">
        <v>95</v>
      </c>
      <c r="Q47" s="24" t="s">
        <v>96</v>
      </c>
      <c r="R47" s="24">
        <v>3</v>
      </c>
      <c r="S47" s="24">
        <v>215</v>
      </c>
      <c r="T47" s="24">
        <v>495</v>
      </c>
      <c r="U47" s="24"/>
      <c r="V47" s="24"/>
      <c r="W47" s="24"/>
      <c r="X47" s="24"/>
      <c r="Y47" s="24"/>
      <c r="Z47" s="24"/>
    </row>
    <row r="48" spans="1:26" x14ac:dyDescent="0.25">
      <c r="A48" s="24" t="s">
        <v>99</v>
      </c>
      <c r="B48" s="37" t="s">
        <v>100</v>
      </c>
      <c r="C48" s="25">
        <v>86</v>
      </c>
      <c r="D48" s="26">
        <f t="shared" si="30"/>
        <v>197.79999999999998</v>
      </c>
      <c r="E48" s="27">
        <v>55.3</v>
      </c>
      <c r="F48" s="28">
        <f t="shared" si="26"/>
        <v>253.09999999999997</v>
      </c>
      <c r="G48" s="29">
        <f t="shared" si="31"/>
        <v>82.949999999999989</v>
      </c>
      <c r="H48" s="30">
        <f t="shared" si="2"/>
        <v>280.75</v>
      </c>
      <c r="I48" s="29">
        <f t="shared" si="32"/>
        <v>103.96399999999998</v>
      </c>
      <c r="J48" s="31">
        <f t="shared" si="33"/>
        <v>301.76399999999995</v>
      </c>
      <c r="K48" s="29"/>
      <c r="L48" s="32"/>
      <c r="M48" s="33">
        <v>600</v>
      </c>
      <c r="N48" s="33">
        <v>760</v>
      </c>
      <c r="O48" s="33">
        <v>490</v>
      </c>
      <c r="P48" s="24" t="s">
        <v>95</v>
      </c>
      <c r="Q48" s="24" t="s">
        <v>96</v>
      </c>
      <c r="R48" s="24">
        <v>3</v>
      </c>
      <c r="S48" s="24">
        <v>215</v>
      </c>
      <c r="T48" s="24">
        <v>595</v>
      </c>
      <c r="U48" s="24"/>
      <c r="V48" s="24"/>
      <c r="W48" s="24"/>
      <c r="X48" s="24"/>
      <c r="Y48" s="24"/>
      <c r="Z48" s="24"/>
    </row>
    <row r="49" spans="1:26" x14ac:dyDescent="0.25">
      <c r="A49" s="24" t="s">
        <v>101</v>
      </c>
      <c r="B49" s="37" t="s">
        <v>102</v>
      </c>
      <c r="C49" s="25">
        <v>90</v>
      </c>
      <c r="D49" s="26">
        <f t="shared" si="30"/>
        <v>206.99999999999997</v>
      </c>
      <c r="E49" s="29">
        <v>72.400000000000006</v>
      </c>
      <c r="F49" s="46">
        <f t="shared" si="26"/>
        <v>279.39999999999998</v>
      </c>
      <c r="G49" s="29">
        <f t="shared" si="31"/>
        <v>108.60000000000001</v>
      </c>
      <c r="H49" s="30">
        <f t="shared" si="2"/>
        <v>315.59999999999997</v>
      </c>
      <c r="I49" s="29">
        <f t="shared" si="32"/>
        <v>136.11199999999999</v>
      </c>
      <c r="J49" s="31">
        <f t="shared" si="33"/>
        <v>343.11199999999997</v>
      </c>
      <c r="K49" s="29"/>
      <c r="L49" s="32"/>
      <c r="M49" s="33">
        <v>800</v>
      </c>
      <c r="N49" s="33">
        <v>760</v>
      </c>
      <c r="O49" s="33">
        <v>490</v>
      </c>
      <c r="P49" s="24" t="s">
        <v>95</v>
      </c>
      <c r="Q49" s="24" t="s">
        <v>96</v>
      </c>
      <c r="R49" s="24">
        <v>3</v>
      </c>
      <c r="S49" s="24">
        <v>215</v>
      </c>
      <c r="T49" s="24">
        <v>795</v>
      </c>
      <c r="U49" s="24"/>
      <c r="V49" s="24"/>
      <c r="W49" s="24"/>
      <c r="X49" s="24"/>
      <c r="Y49" s="24"/>
      <c r="Z49" s="24"/>
    </row>
    <row r="50" spans="1:26" x14ac:dyDescent="0.25">
      <c r="A50" s="24" t="s">
        <v>103</v>
      </c>
      <c r="B50" s="37" t="s">
        <v>104</v>
      </c>
      <c r="C50" s="25">
        <v>92</v>
      </c>
      <c r="D50" s="26">
        <v>218.68</v>
      </c>
      <c r="E50" s="29">
        <v>90.24</v>
      </c>
      <c r="F50" s="46">
        <f t="shared" si="26"/>
        <v>308.92</v>
      </c>
      <c r="G50" s="29">
        <f t="shared" si="31"/>
        <v>135.35999999999999</v>
      </c>
      <c r="H50" s="30">
        <f t="shared" si="2"/>
        <v>354.03999999999996</v>
      </c>
      <c r="I50" s="29">
        <f t="shared" si="32"/>
        <v>169.65119999999999</v>
      </c>
      <c r="J50" s="31">
        <f t="shared" si="33"/>
        <v>388.33119999999997</v>
      </c>
      <c r="K50" s="29"/>
      <c r="L50" s="32"/>
      <c r="M50" s="33">
        <v>1000</v>
      </c>
      <c r="N50" s="33">
        <v>760</v>
      </c>
      <c r="O50" s="33">
        <v>490</v>
      </c>
      <c r="P50" s="24" t="s">
        <v>95</v>
      </c>
      <c r="Q50" s="24" t="s">
        <v>96</v>
      </c>
      <c r="R50" s="24">
        <v>3</v>
      </c>
      <c r="S50" s="24">
        <v>215</v>
      </c>
      <c r="T50" s="24">
        <v>995</v>
      </c>
      <c r="U50" s="24"/>
      <c r="V50" s="24"/>
      <c r="W50" s="24"/>
      <c r="X50" s="24"/>
      <c r="Y50" s="24"/>
      <c r="Z50" s="24"/>
    </row>
    <row r="51" spans="1:26" x14ac:dyDescent="0.25">
      <c r="A51" s="24"/>
      <c r="B51" s="36" t="s">
        <v>105</v>
      </c>
      <c r="C51" s="25"/>
      <c r="D51" s="26"/>
      <c r="E51" s="29"/>
      <c r="F51" s="46"/>
      <c r="G51" s="29"/>
      <c r="H51" s="30"/>
      <c r="I51" s="29"/>
      <c r="J51" s="31"/>
      <c r="K51" s="29"/>
      <c r="L51" s="32"/>
      <c r="M51" s="33"/>
      <c r="N51" s="33"/>
      <c r="O51" s="33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x14ac:dyDescent="0.25">
      <c r="A52" s="24"/>
      <c r="B52" s="37"/>
      <c r="C52" s="25"/>
      <c r="D52" s="26"/>
      <c r="E52" s="29"/>
      <c r="F52" s="46"/>
      <c r="G52" s="29"/>
      <c r="H52" s="30"/>
      <c r="I52" s="29"/>
      <c r="J52" s="31"/>
      <c r="K52" s="29"/>
      <c r="L52" s="32"/>
      <c r="M52" s="33"/>
      <c r="N52" s="33"/>
      <c r="O52" s="33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x14ac:dyDescent="0.25">
      <c r="A53" s="24" t="s">
        <v>106</v>
      </c>
      <c r="B53" s="37" t="s">
        <v>107</v>
      </c>
      <c r="C53" s="25">
        <v>67.099999999999994</v>
      </c>
      <c r="D53" s="26">
        <f t="shared" ref="D53:D57" si="34">PRODUCT(C53,$D$2)</f>
        <v>154.32999999999998</v>
      </c>
      <c r="E53" s="29">
        <v>25.26</v>
      </c>
      <c r="F53" s="46">
        <f t="shared" ref="F53:F57" si="35">SUM(D53:E53)</f>
        <v>179.58999999999997</v>
      </c>
      <c r="G53" s="29">
        <f t="shared" ref="G53:G57" si="36">PRODUCT(E53,$G$2)</f>
        <v>37.89</v>
      </c>
      <c r="H53" s="30">
        <f t="shared" si="2"/>
        <v>192.21999999999997</v>
      </c>
      <c r="I53" s="29">
        <f t="shared" ref="I53:I57" si="37">PRODUCT(E53,$I$2)</f>
        <v>47.488799999999998</v>
      </c>
      <c r="J53" s="31">
        <f t="shared" ref="J53:J57" si="38">SUM(D53,I53)</f>
        <v>201.81879999999998</v>
      </c>
      <c r="K53" s="29"/>
      <c r="L53" s="32"/>
      <c r="M53" s="33">
        <v>400</v>
      </c>
      <c r="N53" s="33">
        <v>540</v>
      </c>
      <c r="O53" s="33">
        <v>490</v>
      </c>
      <c r="P53" s="24" t="s">
        <v>95</v>
      </c>
      <c r="Q53" s="24" t="s">
        <v>108</v>
      </c>
      <c r="R53" s="24">
        <v>2</v>
      </c>
      <c r="S53" s="24">
        <v>215</v>
      </c>
      <c r="T53" s="24">
        <v>395</v>
      </c>
      <c r="U53" s="24"/>
      <c r="V53" s="24"/>
      <c r="W53" s="24"/>
      <c r="X53" s="24"/>
      <c r="Y53" s="24"/>
      <c r="Z53" s="24"/>
    </row>
    <row r="54" spans="1:26" x14ac:dyDescent="0.25">
      <c r="A54" s="24" t="s">
        <v>109</v>
      </c>
      <c r="B54" s="37" t="s">
        <v>110</v>
      </c>
      <c r="C54" s="25">
        <v>70.099999999999994</v>
      </c>
      <c r="D54" s="26">
        <f t="shared" si="34"/>
        <v>161.22999999999996</v>
      </c>
      <c r="E54" s="29">
        <v>30.08</v>
      </c>
      <c r="F54" s="46">
        <f t="shared" si="35"/>
        <v>191.30999999999995</v>
      </c>
      <c r="G54" s="29">
        <f t="shared" si="36"/>
        <v>45.12</v>
      </c>
      <c r="H54" s="30">
        <f t="shared" si="2"/>
        <v>206.34999999999997</v>
      </c>
      <c r="I54" s="29">
        <f t="shared" si="37"/>
        <v>56.550399999999996</v>
      </c>
      <c r="J54" s="31">
        <f t="shared" si="38"/>
        <v>217.78039999999996</v>
      </c>
      <c r="K54" s="29"/>
      <c r="L54" s="32"/>
      <c r="M54" s="33">
        <v>500</v>
      </c>
      <c r="N54" s="33">
        <v>540</v>
      </c>
      <c r="O54" s="33">
        <v>490</v>
      </c>
      <c r="P54" s="24" t="s">
        <v>95</v>
      </c>
      <c r="Q54" s="24" t="s">
        <v>108</v>
      </c>
      <c r="R54" s="24">
        <v>2</v>
      </c>
      <c r="S54" s="24">
        <v>215</v>
      </c>
      <c r="T54" s="24">
        <v>495</v>
      </c>
      <c r="U54" s="24"/>
      <c r="V54" s="24"/>
      <c r="W54" s="24"/>
      <c r="X54" s="24"/>
      <c r="Y54" s="24"/>
      <c r="Z54" s="24"/>
    </row>
    <row r="55" spans="1:26" x14ac:dyDescent="0.25">
      <c r="A55" s="24" t="s">
        <v>111</v>
      </c>
      <c r="B55" s="37" t="s">
        <v>112</v>
      </c>
      <c r="C55" s="25">
        <v>71.5</v>
      </c>
      <c r="D55" s="26">
        <f t="shared" si="34"/>
        <v>164.45</v>
      </c>
      <c r="E55" s="29">
        <v>34.96</v>
      </c>
      <c r="F55" s="46">
        <f t="shared" si="35"/>
        <v>199.41</v>
      </c>
      <c r="G55" s="29">
        <f t="shared" si="36"/>
        <v>52.44</v>
      </c>
      <c r="H55" s="30">
        <f t="shared" si="2"/>
        <v>216.89</v>
      </c>
      <c r="I55" s="29">
        <f t="shared" si="37"/>
        <v>65.724800000000002</v>
      </c>
      <c r="J55" s="31">
        <f t="shared" si="38"/>
        <v>230.1748</v>
      </c>
      <c r="K55" s="29"/>
      <c r="L55" s="32"/>
      <c r="M55" s="33">
        <v>600</v>
      </c>
      <c r="N55" s="33">
        <v>540</v>
      </c>
      <c r="O55" s="33">
        <v>490</v>
      </c>
      <c r="P55" s="24" t="s">
        <v>95</v>
      </c>
      <c r="Q55" s="24" t="s">
        <v>108</v>
      </c>
      <c r="R55" s="24">
        <v>2</v>
      </c>
      <c r="S55" s="24">
        <v>215</v>
      </c>
      <c r="T55" s="24">
        <v>595</v>
      </c>
      <c r="U55" s="24"/>
      <c r="V55" s="24"/>
      <c r="W55" s="24"/>
      <c r="X55" s="24"/>
      <c r="Y55" s="24"/>
      <c r="Z55" s="24"/>
    </row>
    <row r="56" spans="1:26" x14ac:dyDescent="0.25">
      <c r="A56" s="24" t="s">
        <v>113</v>
      </c>
      <c r="B56" s="37" t="s">
        <v>114</v>
      </c>
      <c r="C56" s="25">
        <v>77</v>
      </c>
      <c r="D56" s="26">
        <f t="shared" si="34"/>
        <v>177.1</v>
      </c>
      <c r="E56" s="29">
        <v>50.52</v>
      </c>
      <c r="F56" s="46">
        <f t="shared" si="35"/>
        <v>227.62</v>
      </c>
      <c r="G56" s="29">
        <f t="shared" si="36"/>
        <v>75.78</v>
      </c>
      <c r="H56" s="30">
        <f t="shared" si="2"/>
        <v>252.88</v>
      </c>
      <c r="I56" s="29">
        <f t="shared" si="37"/>
        <v>94.977599999999995</v>
      </c>
      <c r="J56" s="31">
        <f t="shared" si="38"/>
        <v>272.07759999999996</v>
      </c>
      <c r="K56" s="29"/>
      <c r="L56" s="32"/>
      <c r="M56" s="33">
        <v>800</v>
      </c>
      <c r="N56" s="33">
        <v>540</v>
      </c>
      <c r="O56" s="33">
        <v>490</v>
      </c>
      <c r="P56" s="24" t="s">
        <v>95</v>
      </c>
      <c r="Q56" s="24" t="s">
        <v>108</v>
      </c>
      <c r="R56" s="24">
        <v>2</v>
      </c>
      <c r="S56" s="24">
        <v>215</v>
      </c>
      <c r="T56" s="24">
        <v>795</v>
      </c>
      <c r="U56" s="24"/>
      <c r="V56" s="24"/>
      <c r="W56" s="24"/>
      <c r="X56" s="24"/>
      <c r="Y56" s="24"/>
      <c r="Z56" s="24"/>
    </row>
    <row r="57" spans="1:26" x14ac:dyDescent="0.25">
      <c r="A57" s="24" t="s">
        <v>115</v>
      </c>
      <c r="B57" s="37" t="s">
        <v>116</v>
      </c>
      <c r="C57" s="25">
        <v>79.2</v>
      </c>
      <c r="D57" s="26">
        <f t="shared" si="34"/>
        <v>182.16</v>
      </c>
      <c r="E57" s="29">
        <v>60.16</v>
      </c>
      <c r="F57" s="46">
        <f t="shared" si="35"/>
        <v>242.32</v>
      </c>
      <c r="G57" s="29">
        <f t="shared" si="36"/>
        <v>90.24</v>
      </c>
      <c r="H57" s="30">
        <f t="shared" si="2"/>
        <v>272.39999999999998</v>
      </c>
      <c r="I57" s="29">
        <f t="shared" si="37"/>
        <v>113.10079999999999</v>
      </c>
      <c r="J57" s="31">
        <f t="shared" si="38"/>
        <v>295.26080000000002</v>
      </c>
      <c r="K57" s="29"/>
      <c r="L57" s="32"/>
      <c r="M57" s="33">
        <v>1000</v>
      </c>
      <c r="N57" s="33">
        <v>540</v>
      </c>
      <c r="O57" s="33">
        <v>490</v>
      </c>
      <c r="P57" s="24" t="s">
        <v>95</v>
      </c>
      <c r="Q57" s="24" t="s">
        <v>108</v>
      </c>
      <c r="R57" s="24">
        <v>2</v>
      </c>
      <c r="S57" s="24">
        <v>215</v>
      </c>
      <c r="T57" s="24">
        <v>995</v>
      </c>
      <c r="U57" s="24"/>
      <c r="V57" s="24"/>
      <c r="W57" s="24"/>
      <c r="X57" s="24"/>
      <c r="Y57" s="24"/>
      <c r="Z57" s="24"/>
    </row>
    <row r="58" spans="1:26" x14ac:dyDescent="0.25">
      <c r="A58" s="24"/>
      <c r="B58" s="36" t="s">
        <v>105</v>
      </c>
      <c r="C58" s="25"/>
      <c r="D58" s="26"/>
      <c r="E58" s="29"/>
      <c r="F58" s="46"/>
      <c r="G58" s="29"/>
      <c r="H58" s="30"/>
      <c r="I58" s="29"/>
      <c r="J58" s="31"/>
      <c r="K58" s="29"/>
      <c r="L58" s="32"/>
      <c r="M58" s="33"/>
      <c r="N58" s="33"/>
      <c r="O58" s="33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25">
      <c r="A59" s="24"/>
      <c r="B59" s="37"/>
      <c r="C59" s="25"/>
      <c r="D59" s="26"/>
      <c r="E59" s="29"/>
      <c r="F59" s="46"/>
      <c r="G59" s="29"/>
      <c r="H59" s="30"/>
      <c r="I59" s="29"/>
      <c r="J59" s="31"/>
      <c r="K59" s="29"/>
      <c r="L59" s="32"/>
      <c r="M59" s="33"/>
      <c r="N59" s="33"/>
      <c r="O59" s="33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x14ac:dyDescent="0.25">
      <c r="A60" s="24" t="s">
        <v>117</v>
      </c>
      <c r="B60" s="37" t="s">
        <v>118</v>
      </c>
      <c r="C60" s="25">
        <v>91.3</v>
      </c>
      <c r="D60" s="26">
        <f t="shared" ref="D60:D64" si="39">PRODUCT(C60,$D$2)</f>
        <v>209.98999999999998</v>
      </c>
      <c r="E60" s="29">
        <v>54.8</v>
      </c>
      <c r="F60" s="46">
        <f t="shared" ref="F60:F64" si="40">SUM(D60:E60)</f>
        <v>264.78999999999996</v>
      </c>
      <c r="G60" s="29">
        <f t="shared" ref="G60:G64" si="41">PRODUCT(E60,$G$2)</f>
        <v>82.199999999999989</v>
      </c>
      <c r="H60" s="30">
        <f t="shared" si="2"/>
        <v>292.18999999999994</v>
      </c>
      <c r="I60" s="29">
        <f t="shared" ref="I60:I64" si="42">PRODUCT(E60,$I$2)</f>
        <v>103.02399999999999</v>
      </c>
      <c r="J60" s="31">
        <f t="shared" ref="J60:J64" si="43">SUM(D60,I60)</f>
        <v>313.01399999999995</v>
      </c>
      <c r="K60" s="29"/>
      <c r="L60" s="32"/>
      <c r="M60" s="33">
        <v>400</v>
      </c>
      <c r="N60" s="33">
        <v>1000</v>
      </c>
      <c r="O60" s="33">
        <v>490</v>
      </c>
      <c r="P60" s="24" t="s">
        <v>95</v>
      </c>
      <c r="Q60" s="24" t="s">
        <v>119</v>
      </c>
      <c r="R60" s="24">
        <v>5</v>
      </c>
      <c r="S60" s="24">
        <v>175</v>
      </c>
      <c r="T60" s="24">
        <v>395</v>
      </c>
      <c r="U60" s="24"/>
      <c r="V60" s="24"/>
      <c r="W60" s="24"/>
      <c r="X60" s="24"/>
      <c r="Y60" s="24"/>
      <c r="Z60" s="24"/>
    </row>
    <row r="61" spans="1:26" x14ac:dyDescent="0.25">
      <c r="A61" s="24" t="s">
        <v>120</v>
      </c>
      <c r="B61" s="37" t="s">
        <v>121</v>
      </c>
      <c r="C61" s="25">
        <v>93.5</v>
      </c>
      <c r="D61" s="26">
        <f t="shared" si="39"/>
        <v>215.04999999999998</v>
      </c>
      <c r="E61" s="29">
        <v>65.400000000000006</v>
      </c>
      <c r="F61" s="46">
        <f t="shared" si="40"/>
        <v>280.45</v>
      </c>
      <c r="G61" s="29">
        <f t="shared" si="41"/>
        <v>98.100000000000009</v>
      </c>
      <c r="H61" s="30">
        <f t="shared" si="2"/>
        <v>313.14999999999998</v>
      </c>
      <c r="I61" s="29">
        <f t="shared" si="42"/>
        <v>122.952</v>
      </c>
      <c r="J61" s="31">
        <f t="shared" si="43"/>
        <v>338.00199999999995</v>
      </c>
      <c r="K61" s="29"/>
      <c r="L61" s="32"/>
      <c r="M61" s="33">
        <v>500</v>
      </c>
      <c r="N61" s="33">
        <v>1000</v>
      </c>
      <c r="O61" s="33">
        <v>490</v>
      </c>
      <c r="P61" s="24" t="s">
        <v>95</v>
      </c>
      <c r="Q61" s="24" t="s">
        <v>119</v>
      </c>
      <c r="R61" s="24">
        <v>5</v>
      </c>
      <c r="S61" s="24">
        <v>175</v>
      </c>
      <c r="T61" s="24">
        <v>495</v>
      </c>
      <c r="U61" s="24"/>
      <c r="V61" s="24"/>
      <c r="W61" s="24"/>
      <c r="X61" s="24"/>
      <c r="Y61" s="24"/>
      <c r="Z61" s="24"/>
    </row>
    <row r="62" spans="1:26" x14ac:dyDescent="0.25">
      <c r="A62" s="24" t="s">
        <v>122</v>
      </c>
      <c r="B62" s="37" t="s">
        <v>123</v>
      </c>
      <c r="C62" s="25">
        <v>94.6</v>
      </c>
      <c r="D62" s="26">
        <f t="shared" si="39"/>
        <v>217.57999999999998</v>
      </c>
      <c r="E62" s="29">
        <v>76.05</v>
      </c>
      <c r="F62" s="46">
        <f t="shared" si="40"/>
        <v>293.63</v>
      </c>
      <c r="G62" s="29">
        <f t="shared" si="41"/>
        <v>114.07499999999999</v>
      </c>
      <c r="H62" s="30">
        <f t="shared" si="2"/>
        <v>331.65499999999997</v>
      </c>
      <c r="I62" s="29">
        <f t="shared" si="42"/>
        <v>142.97399999999999</v>
      </c>
      <c r="J62" s="31">
        <f t="shared" si="43"/>
        <v>360.55399999999997</v>
      </c>
      <c r="K62" s="29"/>
      <c r="L62" s="32"/>
      <c r="M62" s="33">
        <v>600</v>
      </c>
      <c r="N62" s="33">
        <v>1000</v>
      </c>
      <c r="O62" s="33">
        <v>490</v>
      </c>
      <c r="P62" s="24" t="s">
        <v>95</v>
      </c>
      <c r="Q62" s="24" t="s">
        <v>119</v>
      </c>
      <c r="R62" s="24">
        <v>5</v>
      </c>
      <c r="S62" s="24">
        <v>175</v>
      </c>
      <c r="T62" s="24">
        <v>595</v>
      </c>
      <c r="U62" s="24"/>
      <c r="V62" s="24"/>
      <c r="W62" s="24"/>
      <c r="X62" s="24"/>
      <c r="Y62" s="24"/>
      <c r="Z62" s="24"/>
    </row>
    <row r="63" spans="1:26" x14ac:dyDescent="0.25">
      <c r="A63" s="24" t="s">
        <v>124</v>
      </c>
      <c r="B63" s="37" t="s">
        <v>125</v>
      </c>
      <c r="C63" s="25">
        <v>98.8</v>
      </c>
      <c r="D63" s="26">
        <f t="shared" si="39"/>
        <v>227.23999999999998</v>
      </c>
      <c r="E63" s="29">
        <v>109.6</v>
      </c>
      <c r="F63" s="46">
        <f t="shared" si="40"/>
        <v>336.84</v>
      </c>
      <c r="G63" s="29">
        <f t="shared" si="41"/>
        <v>164.39999999999998</v>
      </c>
      <c r="H63" s="30">
        <f t="shared" si="2"/>
        <v>391.64</v>
      </c>
      <c r="I63" s="29">
        <f t="shared" si="42"/>
        <v>206.04799999999997</v>
      </c>
      <c r="J63" s="31">
        <f t="shared" si="43"/>
        <v>433.28799999999995</v>
      </c>
      <c r="K63" s="29"/>
      <c r="L63" s="32"/>
      <c r="M63" s="33">
        <v>800</v>
      </c>
      <c r="N63" s="33">
        <v>1000</v>
      </c>
      <c r="O63" s="33">
        <v>490</v>
      </c>
      <c r="P63" s="24" t="s">
        <v>95</v>
      </c>
      <c r="Q63" s="24" t="s">
        <v>119</v>
      </c>
      <c r="R63" s="24">
        <v>5</v>
      </c>
      <c r="S63" s="24">
        <v>175</v>
      </c>
      <c r="T63" s="24">
        <v>795</v>
      </c>
      <c r="U63" s="24"/>
      <c r="V63" s="24"/>
      <c r="W63" s="24"/>
      <c r="X63" s="24"/>
      <c r="Y63" s="24"/>
      <c r="Z63" s="24"/>
    </row>
    <row r="64" spans="1:26" x14ac:dyDescent="0.25">
      <c r="A64" s="24" t="s">
        <v>126</v>
      </c>
      <c r="B64" s="37" t="s">
        <v>127</v>
      </c>
      <c r="C64" s="25">
        <v>100</v>
      </c>
      <c r="D64" s="26">
        <f t="shared" si="39"/>
        <v>229.99999999999997</v>
      </c>
      <c r="E64" s="29">
        <v>130.80000000000001</v>
      </c>
      <c r="F64" s="46">
        <f t="shared" si="40"/>
        <v>360.79999999999995</v>
      </c>
      <c r="G64" s="29">
        <f t="shared" si="41"/>
        <v>196.20000000000002</v>
      </c>
      <c r="H64" s="30">
        <f t="shared" si="2"/>
        <v>426.2</v>
      </c>
      <c r="I64" s="29">
        <f t="shared" si="42"/>
        <v>245.904</v>
      </c>
      <c r="J64" s="31">
        <f t="shared" si="43"/>
        <v>475.904</v>
      </c>
      <c r="K64" s="29"/>
      <c r="L64" s="32"/>
      <c r="M64" s="33">
        <v>1000</v>
      </c>
      <c r="N64" s="33">
        <v>1000</v>
      </c>
      <c r="O64" s="33">
        <v>490</v>
      </c>
      <c r="P64" s="24" t="s">
        <v>95</v>
      </c>
      <c r="Q64" s="24" t="s">
        <v>119</v>
      </c>
      <c r="R64" s="24">
        <v>5</v>
      </c>
      <c r="S64" s="24">
        <v>175</v>
      </c>
      <c r="T64" s="24">
        <v>995</v>
      </c>
      <c r="U64" s="24"/>
      <c r="V64" s="24"/>
      <c r="W64" s="24"/>
      <c r="X64" s="24"/>
      <c r="Y64" s="24"/>
      <c r="Z64" s="24"/>
    </row>
    <row r="65" spans="1:26" x14ac:dyDescent="0.25">
      <c r="A65" s="24"/>
      <c r="B65" s="36" t="s">
        <v>105</v>
      </c>
      <c r="C65" s="47"/>
      <c r="D65" s="48"/>
      <c r="E65" s="29"/>
      <c r="F65" s="46"/>
      <c r="G65" s="49"/>
      <c r="H65" s="30"/>
      <c r="I65" s="49"/>
      <c r="J65" s="50"/>
      <c r="K65" s="49"/>
      <c r="L65" s="51"/>
      <c r="M65" s="52"/>
      <c r="N65" s="52"/>
      <c r="O65" s="52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x14ac:dyDescent="0.25">
      <c r="A66" s="24"/>
      <c r="B66" s="24"/>
      <c r="C66" s="39"/>
      <c r="D66" s="39"/>
      <c r="E66" s="29"/>
      <c r="F66" s="25"/>
      <c r="G66" s="43"/>
      <c r="H66" s="25"/>
      <c r="I66" s="43"/>
      <c r="J66" s="39"/>
      <c r="K66" s="43"/>
      <c r="L66" s="39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x14ac:dyDescent="0.25">
      <c r="A67" s="24"/>
      <c r="B67" s="37" t="s">
        <v>128</v>
      </c>
      <c r="C67" s="39"/>
      <c r="D67" s="39"/>
      <c r="E67" s="53">
        <v>12.63</v>
      </c>
      <c r="F67" s="54"/>
      <c r="G67" s="53">
        <f t="shared" ref="G67:G72" si="44">PRODUCT(E67,$G$2)</f>
        <v>18.945</v>
      </c>
      <c r="H67" s="25"/>
      <c r="I67" s="53">
        <f t="shared" ref="I67:I72" si="45">PRODUCT(E67,$I$2)</f>
        <v>23.744399999999999</v>
      </c>
      <c r="J67" s="54"/>
      <c r="K67" s="55"/>
      <c r="L67" s="56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x14ac:dyDescent="0.25">
      <c r="A68" s="24"/>
      <c r="B68" s="37" t="s">
        <v>129</v>
      </c>
      <c r="C68" s="39"/>
      <c r="D68" s="39"/>
      <c r="E68" s="53">
        <v>15.04</v>
      </c>
      <c r="F68" s="54"/>
      <c r="G68" s="53">
        <f t="shared" si="44"/>
        <v>22.56</v>
      </c>
      <c r="H68" s="25"/>
      <c r="I68" s="53">
        <f t="shared" si="45"/>
        <v>28.275199999999998</v>
      </c>
      <c r="J68" s="54"/>
      <c r="K68" s="55"/>
      <c r="L68" s="56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x14ac:dyDescent="0.25">
      <c r="A69" s="24"/>
      <c r="B69" s="37" t="s">
        <v>130</v>
      </c>
      <c r="C69" s="39"/>
      <c r="D69" s="39"/>
      <c r="E69" s="53">
        <v>17.48</v>
      </c>
      <c r="F69" s="54"/>
      <c r="G69" s="53">
        <f t="shared" si="44"/>
        <v>26.22</v>
      </c>
      <c r="H69" s="25"/>
      <c r="I69" s="53">
        <f t="shared" si="45"/>
        <v>32.862400000000001</v>
      </c>
      <c r="J69" s="54"/>
      <c r="K69" s="55"/>
      <c r="L69" s="56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x14ac:dyDescent="0.25">
      <c r="A70" s="24"/>
      <c r="B70" s="37" t="s">
        <v>131</v>
      </c>
      <c r="C70" s="39"/>
      <c r="D70" s="39"/>
      <c r="E70" s="53">
        <v>22.28</v>
      </c>
      <c r="F70" s="54"/>
      <c r="G70" s="53">
        <f t="shared" si="44"/>
        <v>33.42</v>
      </c>
      <c r="H70" s="25"/>
      <c r="I70" s="53">
        <f t="shared" si="45"/>
        <v>41.886400000000002</v>
      </c>
      <c r="J70" s="54"/>
      <c r="K70" s="55"/>
      <c r="L70" s="56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x14ac:dyDescent="0.25">
      <c r="A71" s="24"/>
      <c r="B71" s="37" t="s">
        <v>132</v>
      </c>
      <c r="C71" s="39"/>
      <c r="D71" s="39"/>
      <c r="E71" s="53">
        <v>27.18</v>
      </c>
      <c r="F71" s="54"/>
      <c r="G71" s="53">
        <f t="shared" si="44"/>
        <v>40.769999999999996</v>
      </c>
      <c r="H71" s="25"/>
      <c r="I71" s="53">
        <f t="shared" si="45"/>
        <v>51.098399999999998</v>
      </c>
      <c r="J71" s="54"/>
      <c r="K71" s="55"/>
      <c r="L71" s="56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x14ac:dyDescent="0.25">
      <c r="A72" s="24"/>
      <c r="B72" s="37" t="s">
        <v>133</v>
      </c>
      <c r="C72" s="39"/>
      <c r="D72" s="39"/>
      <c r="E72" s="53">
        <v>28.19</v>
      </c>
      <c r="F72" s="54"/>
      <c r="G72" s="53">
        <f t="shared" si="44"/>
        <v>42.285000000000004</v>
      </c>
      <c r="H72" s="25"/>
      <c r="I72" s="53">
        <f t="shared" si="45"/>
        <v>52.997199999999999</v>
      </c>
      <c r="J72" s="54"/>
      <c r="K72" s="55"/>
      <c r="L72" s="56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x14ac:dyDescent="0.25">
      <c r="A73" s="24"/>
      <c r="B73" s="37"/>
      <c r="C73" s="39"/>
      <c r="D73" s="39"/>
      <c r="E73" s="53"/>
      <c r="F73" s="54"/>
      <c r="G73" s="53"/>
      <c r="H73" s="25"/>
      <c r="I73" s="53"/>
      <c r="J73" s="54"/>
      <c r="K73" s="55"/>
      <c r="L73" s="56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x14ac:dyDescent="0.25">
      <c r="A74" s="24"/>
      <c r="B74" s="37" t="s">
        <v>134</v>
      </c>
      <c r="C74" s="39"/>
      <c r="D74" s="39"/>
      <c r="E74" s="53">
        <v>10.96</v>
      </c>
      <c r="F74" s="54"/>
      <c r="G74" s="53">
        <f t="shared" ref="G74:G79" si="46">PRODUCT(E74,$G$2)</f>
        <v>16.440000000000001</v>
      </c>
      <c r="H74" s="25"/>
      <c r="I74" s="53">
        <f t="shared" ref="I74:I79" si="47">PRODUCT(E74,$I$2)</f>
        <v>20.604800000000001</v>
      </c>
      <c r="J74" s="54"/>
      <c r="K74" s="55"/>
      <c r="L74" s="56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x14ac:dyDescent="0.25">
      <c r="A75" s="24"/>
      <c r="B75" s="37" t="s">
        <v>135</v>
      </c>
      <c r="C75" s="39"/>
      <c r="D75" s="39"/>
      <c r="E75" s="53">
        <v>13.08</v>
      </c>
      <c r="F75" s="54"/>
      <c r="G75" s="53">
        <f t="shared" si="46"/>
        <v>19.62</v>
      </c>
      <c r="H75" s="25"/>
      <c r="I75" s="53">
        <f t="shared" si="47"/>
        <v>24.590399999999999</v>
      </c>
      <c r="J75" s="54"/>
      <c r="K75" s="55"/>
      <c r="L75" s="56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x14ac:dyDescent="0.25">
      <c r="A76" s="24"/>
      <c r="B76" s="37" t="s">
        <v>136</v>
      </c>
      <c r="C76" s="39"/>
      <c r="D76" s="39"/>
      <c r="E76" s="53">
        <v>15.21</v>
      </c>
      <c r="F76" s="54"/>
      <c r="G76" s="53">
        <f t="shared" si="46"/>
        <v>22.815000000000001</v>
      </c>
      <c r="H76" s="25"/>
      <c r="I76" s="53">
        <f t="shared" si="47"/>
        <v>28.594799999999999</v>
      </c>
      <c r="J76" s="54"/>
      <c r="K76" s="55"/>
      <c r="L76" s="56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x14ac:dyDescent="0.25">
      <c r="A77" s="24"/>
      <c r="B77" s="37" t="s">
        <v>137</v>
      </c>
      <c r="C77" s="39"/>
      <c r="D77" s="39"/>
      <c r="E77" s="53">
        <v>20.46</v>
      </c>
      <c r="F77" s="54"/>
      <c r="G77" s="53">
        <f t="shared" si="46"/>
        <v>30.69</v>
      </c>
      <c r="H77" s="25"/>
      <c r="I77" s="53">
        <f t="shared" si="47"/>
        <v>38.464799999999997</v>
      </c>
      <c r="J77" s="54"/>
      <c r="K77" s="55"/>
      <c r="L77" s="56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x14ac:dyDescent="0.25">
      <c r="A78" s="24"/>
      <c r="B78" s="37" t="s">
        <v>138</v>
      </c>
      <c r="C78" s="39"/>
      <c r="D78" s="39"/>
      <c r="E78" s="53">
        <v>24.74</v>
      </c>
      <c r="F78" s="54"/>
      <c r="G78" s="53">
        <f t="shared" si="46"/>
        <v>37.11</v>
      </c>
      <c r="H78" s="25"/>
      <c r="I78" s="53">
        <f t="shared" si="47"/>
        <v>46.511199999999995</v>
      </c>
      <c r="J78" s="54"/>
      <c r="K78" s="55"/>
      <c r="L78" s="56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.75" thickBot="1" x14ac:dyDescent="0.3">
      <c r="A79" s="57"/>
      <c r="B79" s="58" t="s">
        <v>139</v>
      </c>
      <c r="C79" s="59"/>
      <c r="D79" s="59"/>
      <c r="E79" s="60">
        <v>25.91</v>
      </c>
      <c r="F79" s="61"/>
      <c r="G79" s="60">
        <f t="shared" si="46"/>
        <v>38.865000000000002</v>
      </c>
      <c r="H79" s="62"/>
      <c r="I79" s="60">
        <f t="shared" si="47"/>
        <v>48.710799999999999</v>
      </c>
      <c r="J79" s="61"/>
      <c r="K79" s="60"/>
      <c r="L79" s="61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x14ac:dyDescent="0.25">
      <c r="E80" s="64"/>
      <c r="F80" s="65"/>
      <c r="G80" s="66"/>
      <c r="H80" s="67"/>
      <c r="I80" s="66"/>
      <c r="J80" s="67"/>
      <c r="K80" s="66"/>
      <c r="L80" s="67"/>
    </row>
    <row r="81" spans="5:12" x14ac:dyDescent="0.25">
      <c r="E81" s="64"/>
      <c r="F81" s="65"/>
      <c r="G81" s="66"/>
      <c r="H81" s="67"/>
      <c r="I81" s="66"/>
      <c r="J81" s="67"/>
      <c r="K81" s="66"/>
      <c r="L81" s="67"/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Ayaan Shaikh</dc:creator>
  <cp:lastModifiedBy>Ayaan Shaikh</cp:lastModifiedBy>
  <dcterms:created xsi:type="dcterms:W3CDTF">2026-05-03T21:12:14Z</dcterms:created>
  <dcterms:modified xsi:type="dcterms:W3CDTF">2026-05-06T20:46:39Z</dcterms:modified>
</cp:coreProperties>
</file>