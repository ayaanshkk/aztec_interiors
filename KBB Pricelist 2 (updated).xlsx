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eeb\Downloads\"/>
    </mc:Choice>
  </mc:AlternateContent>
  <xr:revisionPtr revIDLastSave="0" documentId="13_ncr:1_{5B590F6A-F0BF-488E-A322-ED2EB763808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Kit Quote" sheetId="3" r:id="rId1"/>
    <sheet name="Bed Quote" sheetId="4" r:id="rId2"/>
    <sheet name="Kitchen" sheetId="1" r:id="rId3"/>
    <sheet name="Bedroo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4" i="1"/>
  <c r="D18" i="1"/>
  <c r="I18" i="1" s="1"/>
  <c r="F18" i="1"/>
  <c r="H18" i="1"/>
  <c r="J60" i="1"/>
  <c r="K60" i="1" s="1"/>
  <c r="J59" i="1"/>
  <c r="K59" i="1" s="1"/>
  <c r="J56" i="1"/>
  <c r="J55" i="1"/>
  <c r="J54" i="1"/>
  <c r="J53" i="1"/>
  <c r="J51" i="1"/>
  <c r="J50" i="1"/>
  <c r="K50" i="1" s="1"/>
  <c r="J49" i="1"/>
  <c r="J46" i="1"/>
  <c r="J45" i="1"/>
  <c r="J44" i="1"/>
  <c r="J39" i="1"/>
  <c r="J38" i="1"/>
  <c r="J37" i="1"/>
  <c r="J35" i="1"/>
  <c r="J34" i="1"/>
  <c r="J33" i="1"/>
  <c r="J26" i="1"/>
  <c r="J25" i="1"/>
  <c r="J24" i="1"/>
  <c r="J13" i="1"/>
  <c r="J12" i="1"/>
  <c r="J11" i="1"/>
  <c r="J10" i="1"/>
  <c r="H25" i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F26" i="1"/>
  <c r="H26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4" i="1"/>
  <c r="H44" i="1" s="1"/>
  <c r="F45" i="1"/>
  <c r="H45" i="1" s="1"/>
  <c r="F46" i="1"/>
  <c r="H46" i="1" s="1"/>
  <c r="F48" i="1"/>
  <c r="H48" i="1" s="1"/>
  <c r="F49" i="1"/>
  <c r="H49" i="1" s="1"/>
  <c r="F50" i="1"/>
  <c r="F51" i="1"/>
  <c r="F52" i="1"/>
  <c r="F53" i="1"/>
  <c r="F54" i="1"/>
  <c r="F55" i="1"/>
  <c r="F56" i="1"/>
  <c r="F59" i="1"/>
  <c r="F60" i="1"/>
  <c r="F5" i="1"/>
  <c r="H5" i="1" s="1"/>
  <c r="F6" i="1"/>
  <c r="J6" i="1" s="1"/>
  <c r="F7" i="1"/>
  <c r="H7" i="1" s="1"/>
  <c r="F8" i="1"/>
  <c r="J8" i="1" s="1"/>
  <c r="F9" i="1"/>
  <c r="J9" i="1" s="1"/>
  <c r="F10" i="1"/>
  <c r="H10" i="1" s="1"/>
  <c r="F11" i="1"/>
  <c r="H11" i="1" s="1"/>
  <c r="F12" i="1"/>
  <c r="H12" i="1" s="1"/>
  <c r="F13" i="1"/>
  <c r="H13" i="1" s="1"/>
  <c r="F4" i="1"/>
  <c r="D4" i="1"/>
  <c r="D6" i="2"/>
  <c r="D7" i="2"/>
  <c r="D8" i="2"/>
  <c r="D9" i="2"/>
  <c r="D10" i="2"/>
  <c r="D11" i="2"/>
  <c r="D12" i="2"/>
  <c r="D13" i="2"/>
  <c r="D14" i="2"/>
  <c r="G14" i="2" s="1"/>
  <c r="D15" i="2"/>
  <c r="F11" i="2"/>
  <c r="F12" i="2"/>
  <c r="F13" i="2"/>
  <c r="F14" i="2"/>
  <c r="F15" i="2"/>
  <c r="F25" i="2"/>
  <c r="F26" i="2"/>
  <c r="F27" i="2"/>
  <c r="F28" i="2"/>
  <c r="F29" i="2"/>
  <c r="F31" i="2"/>
  <c r="F32" i="2"/>
  <c r="F33" i="2"/>
  <c r="F34" i="2"/>
  <c r="F35" i="2"/>
  <c r="F36" i="2"/>
  <c r="F38" i="2"/>
  <c r="F39" i="2"/>
  <c r="F40" i="2"/>
  <c r="F41" i="2"/>
  <c r="F42" i="2"/>
  <c r="F45" i="2"/>
  <c r="F46" i="2"/>
  <c r="F47" i="2"/>
  <c r="F48" i="2"/>
  <c r="F49" i="2"/>
  <c r="F51" i="2"/>
  <c r="F52" i="2"/>
  <c r="F53" i="2"/>
  <c r="F54" i="2"/>
  <c r="F56" i="2"/>
  <c r="F57" i="2"/>
  <c r="F58" i="2"/>
  <c r="F59" i="2"/>
  <c r="F60" i="2"/>
  <c r="F61" i="2"/>
  <c r="F62" i="2"/>
  <c r="F63" i="2"/>
  <c r="F64" i="2"/>
  <c r="F65" i="2"/>
  <c r="F6" i="2"/>
  <c r="H6" i="2" s="1"/>
  <c r="F7" i="2"/>
  <c r="H7" i="2" s="1"/>
  <c r="F8" i="2"/>
  <c r="H8" i="2" s="1"/>
  <c r="F9" i="2"/>
  <c r="H9" i="2" s="1"/>
  <c r="F10" i="2"/>
  <c r="H10" i="2" s="1"/>
  <c r="F5" i="2"/>
  <c r="H5" i="2" s="1"/>
  <c r="G59" i="1"/>
  <c r="G60" i="1"/>
  <c r="G74" i="1"/>
  <c r="G75" i="1"/>
  <c r="G76" i="1"/>
  <c r="G77" i="1"/>
  <c r="G79" i="1"/>
  <c r="G80" i="1"/>
  <c r="G81" i="1"/>
  <c r="G82" i="1"/>
  <c r="G83" i="1"/>
  <c r="G196" i="1"/>
  <c r="G205" i="1"/>
  <c r="G213" i="1"/>
  <c r="D87" i="1"/>
  <c r="G87" i="1" s="1"/>
  <c r="D37" i="1"/>
  <c r="G37" i="1" s="1"/>
  <c r="G42" i="2"/>
  <c r="J65" i="2"/>
  <c r="J64" i="2"/>
  <c r="J63" i="2"/>
  <c r="J62" i="2"/>
  <c r="J61" i="2"/>
  <c r="J60" i="2"/>
  <c r="J59" i="2"/>
  <c r="J58" i="2"/>
  <c r="J57" i="2"/>
  <c r="J56" i="2"/>
  <c r="H65" i="2"/>
  <c r="H60" i="2"/>
  <c r="H59" i="2"/>
  <c r="H58" i="2"/>
  <c r="H57" i="2"/>
  <c r="H56" i="2"/>
  <c r="H64" i="2"/>
  <c r="H63" i="2"/>
  <c r="H62" i="2"/>
  <c r="H61" i="2"/>
  <c r="J49" i="2"/>
  <c r="J48" i="2"/>
  <c r="J47" i="2"/>
  <c r="J46" i="2"/>
  <c r="J45" i="2"/>
  <c r="J54" i="2"/>
  <c r="J53" i="2"/>
  <c r="J52" i="2"/>
  <c r="J51" i="2"/>
  <c r="J42" i="2"/>
  <c r="K42" i="2" s="1"/>
  <c r="J41" i="2"/>
  <c r="J40" i="2"/>
  <c r="J39" i="2"/>
  <c r="J38" i="2"/>
  <c r="J36" i="2"/>
  <c r="J35" i="2"/>
  <c r="J34" i="2"/>
  <c r="J33" i="2"/>
  <c r="J32" i="2"/>
  <c r="J31" i="2"/>
  <c r="J29" i="2"/>
  <c r="J28" i="2"/>
  <c r="J27" i="2"/>
  <c r="J26" i="2"/>
  <c r="J25" i="2"/>
  <c r="J15" i="2"/>
  <c r="J14" i="2"/>
  <c r="J13" i="2"/>
  <c r="J12" i="2"/>
  <c r="J11" i="2"/>
  <c r="H54" i="2"/>
  <c r="H53" i="2"/>
  <c r="H52" i="2"/>
  <c r="H51" i="2"/>
  <c r="H49" i="2"/>
  <c r="H48" i="2"/>
  <c r="H47" i="2"/>
  <c r="H46" i="2"/>
  <c r="H45" i="2"/>
  <c r="H42" i="2"/>
  <c r="I42" i="2" s="1"/>
  <c r="H41" i="2"/>
  <c r="H40" i="2"/>
  <c r="H39" i="2"/>
  <c r="H38" i="2"/>
  <c r="H36" i="2"/>
  <c r="H35" i="2"/>
  <c r="H34" i="2"/>
  <c r="H33" i="2"/>
  <c r="H32" i="2"/>
  <c r="H31" i="2"/>
  <c r="H29" i="2"/>
  <c r="H28" i="2"/>
  <c r="H27" i="2"/>
  <c r="H26" i="2"/>
  <c r="H25" i="2"/>
  <c r="H15" i="2"/>
  <c r="H14" i="2"/>
  <c r="H13" i="2"/>
  <c r="H12" i="2"/>
  <c r="H11" i="2"/>
  <c r="D54" i="2"/>
  <c r="I54" i="2" s="1"/>
  <c r="D53" i="2"/>
  <c r="D52" i="2"/>
  <c r="D51" i="2"/>
  <c r="G51" i="2" s="1"/>
  <c r="D49" i="2"/>
  <c r="D48" i="2"/>
  <c r="D47" i="2"/>
  <c r="D46" i="2"/>
  <c r="K46" i="2" s="1"/>
  <c r="D45" i="2"/>
  <c r="D41" i="2"/>
  <c r="D40" i="2"/>
  <c r="D39" i="2"/>
  <c r="D38" i="2"/>
  <c r="D36" i="2"/>
  <c r="G36" i="2" s="1"/>
  <c r="D35" i="2"/>
  <c r="G35" i="2" s="1"/>
  <c r="D34" i="2"/>
  <c r="D33" i="2"/>
  <c r="D32" i="2"/>
  <c r="K32" i="2" s="1"/>
  <c r="D31" i="2"/>
  <c r="G31" i="2" s="1"/>
  <c r="D29" i="2"/>
  <c r="G29" i="2" s="1"/>
  <c r="D28" i="2"/>
  <c r="G28" i="2" s="1"/>
  <c r="D27" i="2"/>
  <c r="D26" i="2"/>
  <c r="D25" i="2"/>
  <c r="D24" i="2"/>
  <c r="D22" i="2"/>
  <c r="D21" i="2"/>
  <c r="D20" i="2"/>
  <c r="D19" i="2"/>
  <c r="D18" i="2"/>
  <c r="D17" i="2"/>
  <c r="I15" i="2"/>
  <c r="G13" i="2"/>
  <c r="M11" i="2"/>
  <c r="G8" i="2"/>
  <c r="M9" i="2"/>
  <c r="M10" i="2"/>
  <c r="D5" i="2"/>
  <c r="G5" i="2" s="1"/>
  <c r="D11" i="1"/>
  <c r="G11" i="1" s="1"/>
  <c r="D270" i="1"/>
  <c r="G270" i="1" s="1"/>
  <c r="D269" i="1"/>
  <c r="G269" i="1" s="1"/>
  <c r="D268" i="1"/>
  <c r="G268" i="1" s="1"/>
  <c r="D267" i="1"/>
  <c r="G267" i="1" s="1"/>
  <c r="D264" i="1"/>
  <c r="G264" i="1" s="1"/>
  <c r="D263" i="1"/>
  <c r="G263" i="1" s="1"/>
  <c r="D262" i="1"/>
  <c r="G262" i="1" s="1"/>
  <c r="D261" i="1"/>
  <c r="G261" i="1" s="1"/>
  <c r="D260" i="1"/>
  <c r="G260" i="1" s="1"/>
  <c r="D259" i="1"/>
  <c r="G259" i="1" s="1"/>
  <c r="D255" i="1"/>
  <c r="G255" i="1" s="1"/>
  <c r="D254" i="1"/>
  <c r="G254" i="1" s="1"/>
  <c r="D253" i="1"/>
  <c r="G253" i="1" s="1"/>
  <c r="D252" i="1"/>
  <c r="G252" i="1" s="1"/>
  <c r="D251" i="1"/>
  <c r="G251" i="1" s="1"/>
  <c r="D249" i="1"/>
  <c r="G249" i="1" s="1"/>
  <c r="D248" i="1"/>
  <c r="G248" i="1" s="1"/>
  <c r="D247" i="1"/>
  <c r="G247" i="1" s="1"/>
  <c r="D246" i="1"/>
  <c r="G246" i="1" s="1"/>
  <c r="D245" i="1"/>
  <c r="G245" i="1" s="1"/>
  <c r="D244" i="1"/>
  <c r="G244" i="1" s="1"/>
  <c r="D243" i="1"/>
  <c r="G243" i="1" s="1"/>
  <c r="D242" i="1"/>
  <c r="G242" i="1" s="1"/>
  <c r="D241" i="1"/>
  <c r="G241" i="1" s="1"/>
  <c r="D238" i="1"/>
  <c r="G238" i="1" s="1"/>
  <c r="D237" i="1"/>
  <c r="G237" i="1" s="1"/>
  <c r="D236" i="1"/>
  <c r="G236" i="1" s="1"/>
  <c r="D235" i="1"/>
  <c r="G235" i="1" s="1"/>
  <c r="D234" i="1"/>
  <c r="G234" i="1" s="1"/>
  <c r="D230" i="1"/>
  <c r="G230" i="1" s="1"/>
  <c r="D229" i="1"/>
  <c r="G229" i="1" s="1"/>
  <c r="D228" i="1"/>
  <c r="G228" i="1" s="1"/>
  <c r="D227" i="1"/>
  <c r="G227" i="1" s="1"/>
  <c r="D226" i="1"/>
  <c r="G226" i="1" s="1"/>
  <c r="D222" i="1"/>
  <c r="G222" i="1" s="1"/>
  <c r="D221" i="1"/>
  <c r="G221" i="1" s="1"/>
  <c r="D220" i="1"/>
  <c r="G220" i="1" s="1"/>
  <c r="D219" i="1"/>
  <c r="G219" i="1" s="1"/>
  <c r="D218" i="1"/>
  <c r="G218" i="1" s="1"/>
  <c r="D215" i="1"/>
  <c r="G215" i="1" s="1"/>
  <c r="D214" i="1"/>
  <c r="G214" i="1" s="1"/>
  <c r="D209" i="1"/>
  <c r="G209" i="1" s="1"/>
  <c r="D208" i="1"/>
  <c r="G208" i="1" s="1"/>
  <c r="D207" i="1"/>
  <c r="G207" i="1" s="1"/>
  <c r="D206" i="1"/>
  <c r="G206" i="1" s="1"/>
  <c r="D204" i="1"/>
  <c r="G204" i="1" s="1"/>
  <c r="D203" i="1"/>
  <c r="G203" i="1" s="1"/>
  <c r="D201" i="1"/>
  <c r="G201" i="1" s="1"/>
  <c r="D200" i="1"/>
  <c r="G200" i="1" s="1"/>
  <c r="D199" i="1"/>
  <c r="G199" i="1" s="1"/>
  <c r="D198" i="1"/>
  <c r="G198" i="1" s="1"/>
  <c r="D197" i="1"/>
  <c r="G197" i="1" s="1"/>
  <c r="D195" i="1"/>
  <c r="G195" i="1" s="1"/>
  <c r="D194" i="1"/>
  <c r="G194" i="1" s="1"/>
  <c r="D192" i="1"/>
  <c r="G192" i="1" s="1"/>
  <c r="D191" i="1"/>
  <c r="G191" i="1" s="1"/>
  <c r="D190" i="1"/>
  <c r="G190" i="1" s="1"/>
  <c r="D189" i="1"/>
  <c r="G189" i="1" s="1"/>
  <c r="D188" i="1"/>
  <c r="G188" i="1" s="1"/>
  <c r="D187" i="1"/>
  <c r="G187" i="1" s="1"/>
  <c r="D186" i="1"/>
  <c r="G186" i="1" s="1"/>
  <c r="D185" i="1"/>
  <c r="G185" i="1" s="1"/>
  <c r="D184" i="1"/>
  <c r="G184" i="1" s="1"/>
  <c r="D183" i="1"/>
  <c r="G183" i="1" s="1"/>
  <c r="D182" i="1"/>
  <c r="G182" i="1" s="1"/>
  <c r="D181" i="1"/>
  <c r="G181" i="1" s="1"/>
  <c r="D180" i="1"/>
  <c r="G180" i="1" s="1"/>
  <c r="D179" i="1"/>
  <c r="G179" i="1" s="1"/>
  <c r="D178" i="1"/>
  <c r="G178" i="1" s="1"/>
  <c r="D177" i="1"/>
  <c r="G177" i="1" s="1"/>
  <c r="D176" i="1"/>
  <c r="G176" i="1" s="1"/>
  <c r="D175" i="1"/>
  <c r="G175" i="1" s="1"/>
  <c r="D174" i="1"/>
  <c r="G174" i="1" s="1"/>
  <c r="D173" i="1"/>
  <c r="G173" i="1" s="1"/>
  <c r="D172" i="1"/>
  <c r="G172" i="1" s="1"/>
  <c r="D171" i="1"/>
  <c r="G171" i="1" s="1"/>
  <c r="D169" i="1"/>
  <c r="G169" i="1" s="1"/>
  <c r="D168" i="1"/>
  <c r="G168" i="1" s="1"/>
  <c r="D166" i="1"/>
  <c r="G166" i="1" s="1"/>
  <c r="D165" i="1"/>
  <c r="G165" i="1" s="1"/>
  <c r="D164" i="1"/>
  <c r="G164" i="1" s="1"/>
  <c r="D163" i="1"/>
  <c r="G163" i="1" s="1"/>
  <c r="D161" i="1"/>
  <c r="G161" i="1" s="1"/>
  <c r="D160" i="1"/>
  <c r="G160" i="1" s="1"/>
  <c r="D159" i="1"/>
  <c r="G159" i="1" s="1"/>
  <c r="D158" i="1"/>
  <c r="G158" i="1" s="1"/>
  <c r="D157" i="1"/>
  <c r="G157" i="1" s="1"/>
  <c r="D156" i="1"/>
  <c r="G156" i="1" s="1"/>
  <c r="D155" i="1"/>
  <c r="G155" i="1" s="1"/>
  <c r="D154" i="1"/>
  <c r="G154" i="1" s="1"/>
  <c r="D153" i="1"/>
  <c r="G153" i="1" s="1"/>
  <c r="D152" i="1"/>
  <c r="G152" i="1" s="1"/>
  <c r="D151" i="1"/>
  <c r="G151" i="1" s="1"/>
  <c r="D150" i="1"/>
  <c r="G150" i="1" s="1"/>
  <c r="D149" i="1"/>
  <c r="G149" i="1" s="1"/>
  <c r="D148" i="1"/>
  <c r="G148" i="1" s="1"/>
  <c r="D146" i="1"/>
  <c r="G146" i="1" s="1"/>
  <c r="D145" i="1"/>
  <c r="G145" i="1" s="1"/>
  <c r="D144" i="1"/>
  <c r="G144" i="1" s="1"/>
  <c r="D143" i="1"/>
  <c r="G143" i="1" s="1"/>
  <c r="D142" i="1"/>
  <c r="G142" i="1" s="1"/>
  <c r="D141" i="1"/>
  <c r="G141" i="1" s="1"/>
  <c r="D140" i="1"/>
  <c r="G140" i="1" s="1"/>
  <c r="D139" i="1"/>
  <c r="G139" i="1" s="1"/>
  <c r="D138" i="1"/>
  <c r="G138" i="1" s="1"/>
  <c r="D136" i="1"/>
  <c r="G136" i="1" s="1"/>
  <c r="D135" i="1"/>
  <c r="G135" i="1" s="1"/>
  <c r="D134" i="1"/>
  <c r="G134" i="1" s="1"/>
  <c r="D133" i="1"/>
  <c r="G133" i="1" s="1"/>
  <c r="D132" i="1"/>
  <c r="G132" i="1" s="1"/>
  <c r="D131" i="1"/>
  <c r="G131" i="1" s="1"/>
  <c r="D130" i="1"/>
  <c r="G130" i="1" s="1"/>
  <c r="D129" i="1"/>
  <c r="G129" i="1" s="1"/>
  <c r="D128" i="1"/>
  <c r="G128" i="1" s="1"/>
  <c r="D127" i="1"/>
  <c r="G127" i="1" s="1"/>
  <c r="D126" i="1"/>
  <c r="G126" i="1" s="1"/>
  <c r="D125" i="1"/>
  <c r="G125" i="1" s="1"/>
  <c r="D124" i="1"/>
  <c r="G124" i="1" s="1"/>
  <c r="D123" i="1"/>
  <c r="G123" i="1" s="1"/>
  <c r="D122" i="1"/>
  <c r="G122" i="1" s="1"/>
  <c r="D121" i="1"/>
  <c r="G121" i="1" s="1"/>
  <c r="D120" i="1"/>
  <c r="G120" i="1" s="1"/>
  <c r="D119" i="1"/>
  <c r="G119" i="1" s="1"/>
  <c r="D118" i="1"/>
  <c r="G118" i="1" s="1"/>
  <c r="D117" i="1"/>
  <c r="G117" i="1" s="1"/>
  <c r="D116" i="1"/>
  <c r="G116" i="1" s="1"/>
  <c r="D115" i="1"/>
  <c r="G115" i="1" s="1"/>
  <c r="D114" i="1"/>
  <c r="G114" i="1" s="1"/>
  <c r="D113" i="1"/>
  <c r="G113" i="1" s="1"/>
  <c r="D112" i="1"/>
  <c r="G112" i="1" s="1"/>
  <c r="D111" i="1"/>
  <c r="G111" i="1" s="1"/>
  <c r="D110" i="1"/>
  <c r="G110" i="1" s="1"/>
  <c r="D109" i="1"/>
  <c r="G109" i="1" s="1"/>
  <c r="D108" i="1"/>
  <c r="G108" i="1" s="1"/>
  <c r="D107" i="1"/>
  <c r="G107" i="1" s="1"/>
  <c r="D106" i="1"/>
  <c r="G106" i="1" s="1"/>
  <c r="D105" i="1"/>
  <c r="G105" i="1" s="1"/>
  <c r="D104" i="1"/>
  <c r="G104" i="1" s="1"/>
  <c r="D103" i="1"/>
  <c r="G103" i="1" s="1"/>
  <c r="D102" i="1"/>
  <c r="G102" i="1" s="1"/>
  <c r="D101" i="1"/>
  <c r="G101" i="1" s="1"/>
  <c r="D99" i="1"/>
  <c r="G99" i="1" s="1"/>
  <c r="D98" i="1"/>
  <c r="G98" i="1" s="1"/>
  <c r="D97" i="1"/>
  <c r="G97" i="1" s="1"/>
  <c r="D95" i="1"/>
  <c r="G95" i="1" s="1"/>
  <c r="D93" i="1"/>
  <c r="G93" i="1" s="1"/>
  <c r="D91" i="1"/>
  <c r="G91" i="1" s="1"/>
  <c r="D90" i="1"/>
  <c r="G90" i="1" s="1"/>
  <c r="D88" i="1"/>
  <c r="G88" i="1" s="1"/>
  <c r="D72" i="1"/>
  <c r="G72" i="1" s="1"/>
  <c r="D71" i="1"/>
  <c r="G71" i="1" s="1"/>
  <c r="D69" i="1"/>
  <c r="G69" i="1" s="1"/>
  <c r="D68" i="1"/>
  <c r="G68" i="1" s="1"/>
  <c r="D66" i="1"/>
  <c r="G66" i="1" s="1"/>
  <c r="D65" i="1"/>
  <c r="G65" i="1" s="1"/>
  <c r="D64" i="1"/>
  <c r="G64" i="1" s="1"/>
  <c r="D63" i="1"/>
  <c r="G63" i="1" s="1"/>
  <c r="D62" i="1"/>
  <c r="G62" i="1" s="1"/>
  <c r="D56" i="1"/>
  <c r="G56" i="1" s="1"/>
  <c r="D55" i="1"/>
  <c r="G55" i="1" s="1"/>
  <c r="D54" i="1"/>
  <c r="G54" i="1" s="1"/>
  <c r="D53" i="1"/>
  <c r="G53" i="1" s="1"/>
  <c r="D52" i="1"/>
  <c r="G52" i="1" s="1"/>
  <c r="D51" i="1"/>
  <c r="G51" i="1" s="1"/>
  <c r="D44" i="1"/>
  <c r="G44" i="1" s="1"/>
  <c r="D46" i="1"/>
  <c r="G46" i="1" s="1"/>
  <c r="D45" i="1"/>
  <c r="G45" i="1" s="1"/>
  <c r="D49" i="1"/>
  <c r="G49" i="1" s="1"/>
  <c r="D48" i="1"/>
  <c r="G48" i="1" s="1"/>
  <c r="D39" i="1"/>
  <c r="G39" i="1" s="1"/>
  <c r="D38" i="1"/>
  <c r="G38" i="1" s="1"/>
  <c r="D36" i="1"/>
  <c r="G36" i="1" s="1"/>
  <c r="D35" i="1"/>
  <c r="G35" i="1" s="1"/>
  <c r="D34" i="1"/>
  <c r="G34" i="1" s="1"/>
  <c r="D33" i="1"/>
  <c r="G33" i="1" s="1"/>
  <c r="D26" i="1"/>
  <c r="D25" i="1"/>
  <c r="K25" i="1" s="1"/>
  <c r="D24" i="1"/>
  <c r="D23" i="1"/>
  <c r="K23" i="1" s="1"/>
  <c r="D22" i="1"/>
  <c r="K22" i="1" s="1"/>
  <c r="D21" i="1"/>
  <c r="K21" i="1" s="1"/>
  <c r="D20" i="1"/>
  <c r="K20" i="1" s="1"/>
  <c r="D19" i="1"/>
  <c r="K19" i="1" s="1"/>
  <c r="D5" i="1"/>
  <c r="G5" i="1" s="1"/>
  <c r="D6" i="1"/>
  <c r="G6" i="1" s="1"/>
  <c r="D7" i="1"/>
  <c r="G7" i="1" s="1"/>
  <c r="D8" i="1"/>
  <c r="G8" i="1" s="1"/>
  <c r="D9" i="1"/>
  <c r="G9" i="1" s="1"/>
  <c r="D10" i="1"/>
  <c r="D12" i="1"/>
  <c r="G12" i="1" s="1"/>
  <c r="D13" i="1"/>
  <c r="G18" i="1" l="1"/>
  <c r="H9" i="1"/>
  <c r="I9" i="1" s="1"/>
  <c r="K26" i="1"/>
  <c r="K18" i="1"/>
  <c r="J7" i="1"/>
  <c r="I13" i="1"/>
  <c r="K24" i="1"/>
  <c r="J4" i="1"/>
  <c r="K49" i="1"/>
  <c r="I10" i="1"/>
  <c r="H8" i="1"/>
  <c r="I8" i="1" s="1"/>
  <c r="K4" i="1"/>
  <c r="K48" i="1"/>
  <c r="J5" i="1"/>
  <c r="K5" i="1" s="1"/>
  <c r="K46" i="1"/>
  <c r="H6" i="1"/>
  <c r="K13" i="1"/>
  <c r="K45" i="1"/>
  <c r="G13" i="1"/>
  <c r="K12" i="1"/>
  <c r="K44" i="1"/>
  <c r="K11" i="1"/>
  <c r="K56" i="1"/>
  <c r="K39" i="1"/>
  <c r="K10" i="1"/>
  <c r="K55" i="1"/>
  <c r="K38" i="1"/>
  <c r="G10" i="1"/>
  <c r="K9" i="1"/>
  <c r="K54" i="1"/>
  <c r="K37" i="1"/>
  <c r="K8" i="1"/>
  <c r="K53" i="1"/>
  <c r="K36" i="1"/>
  <c r="K7" i="1"/>
  <c r="K52" i="1"/>
  <c r="K35" i="1"/>
  <c r="K6" i="1"/>
  <c r="K51" i="1"/>
  <c r="K34" i="1"/>
  <c r="K33" i="1"/>
  <c r="I24" i="1"/>
  <c r="I25" i="1"/>
  <c r="I19" i="1"/>
  <c r="I20" i="1"/>
  <c r="I21" i="1"/>
  <c r="J10" i="2"/>
  <c r="K10" i="2" s="1"/>
  <c r="K34" i="2"/>
  <c r="I52" i="2"/>
  <c r="I53" i="2"/>
  <c r="G7" i="2"/>
  <c r="G10" i="2"/>
  <c r="G6" i="2"/>
  <c r="K33" i="2"/>
  <c r="J5" i="2"/>
  <c r="K5" i="2" s="1"/>
  <c r="K12" i="2"/>
  <c r="I38" i="2"/>
  <c r="G9" i="2"/>
  <c r="J9" i="2"/>
  <c r="J8" i="2"/>
  <c r="K8" i="2" s="1"/>
  <c r="J7" i="2"/>
  <c r="K7" i="2" s="1"/>
  <c r="J6" i="2"/>
  <c r="K6" i="2"/>
  <c r="I40" i="2"/>
  <c r="I25" i="2"/>
  <c r="K45" i="2"/>
  <c r="I27" i="2"/>
  <c r="I26" i="2"/>
  <c r="I41" i="2"/>
  <c r="K47" i="2"/>
  <c r="I39" i="2"/>
  <c r="K48" i="2"/>
  <c r="K49" i="2"/>
  <c r="G32" i="2"/>
  <c r="G52" i="2"/>
  <c r="I51" i="2"/>
  <c r="I36" i="2"/>
  <c r="I14" i="2"/>
  <c r="K13" i="2"/>
  <c r="K35" i="2"/>
  <c r="M12" i="2"/>
  <c r="G11" i="2"/>
  <c r="G33" i="2"/>
  <c r="G53" i="2"/>
  <c r="I35" i="2"/>
  <c r="I13" i="2"/>
  <c r="K14" i="2"/>
  <c r="K36" i="2"/>
  <c r="K51" i="2"/>
  <c r="M13" i="2"/>
  <c r="G12" i="2"/>
  <c r="G34" i="2"/>
  <c r="G54" i="2"/>
  <c r="I49" i="2"/>
  <c r="I34" i="2"/>
  <c r="I12" i="2"/>
  <c r="K15" i="2"/>
  <c r="K38" i="2"/>
  <c r="K52" i="2"/>
  <c r="M14" i="2"/>
  <c r="I5" i="2"/>
  <c r="I48" i="2"/>
  <c r="I33" i="2"/>
  <c r="I11" i="2"/>
  <c r="K25" i="2"/>
  <c r="K39" i="2"/>
  <c r="K53" i="2"/>
  <c r="M15" i="2"/>
  <c r="I10" i="2"/>
  <c r="I47" i="2"/>
  <c r="I32" i="2"/>
  <c r="K26" i="2"/>
  <c r="K40" i="2"/>
  <c r="K54" i="2"/>
  <c r="G38" i="2"/>
  <c r="G15" i="2"/>
  <c r="G45" i="2"/>
  <c r="I9" i="2"/>
  <c r="I46" i="2"/>
  <c r="I31" i="2"/>
  <c r="K27" i="2"/>
  <c r="K41" i="2"/>
  <c r="M5" i="2"/>
  <c r="G39" i="2"/>
  <c r="G25" i="2"/>
  <c r="G46" i="2"/>
  <c r="I8" i="2"/>
  <c r="I45" i="2"/>
  <c r="I29" i="2"/>
  <c r="K9" i="2"/>
  <c r="K28" i="2"/>
  <c r="M6" i="2"/>
  <c r="G40" i="2"/>
  <c r="G26" i="2"/>
  <c r="G47" i="2"/>
  <c r="I7" i="2"/>
  <c r="I28" i="2"/>
  <c r="K29" i="2"/>
  <c r="M7" i="2"/>
  <c r="G41" i="2"/>
  <c r="G27" i="2"/>
  <c r="G48" i="2"/>
  <c r="I6" i="2"/>
  <c r="K31" i="2"/>
  <c r="M8" i="2"/>
  <c r="G49" i="2"/>
  <c r="K11" i="2"/>
  <c r="I23" i="1"/>
  <c r="I11" i="1"/>
  <c r="I26" i="1"/>
  <c r="I22" i="1"/>
  <c r="I12" i="1"/>
  <c r="I35" i="1"/>
  <c r="I7" i="1"/>
  <c r="I49" i="1"/>
  <c r="I34" i="1"/>
  <c r="I6" i="1"/>
  <c r="I48" i="1"/>
  <c r="I33" i="1"/>
  <c r="I5" i="1"/>
  <c r="G26" i="1"/>
  <c r="G25" i="1"/>
  <c r="I46" i="1"/>
  <c r="G24" i="1"/>
  <c r="I4" i="1"/>
  <c r="I45" i="1"/>
  <c r="G23" i="1"/>
  <c r="I44" i="1"/>
  <c r="G22" i="1"/>
  <c r="I39" i="1"/>
  <c r="G21" i="1"/>
  <c r="I38" i="1"/>
  <c r="G20" i="1"/>
  <c r="I37" i="1"/>
  <c r="G19" i="1"/>
  <c r="I36" i="1"/>
</calcChain>
</file>

<file path=xl/sharedStrings.xml><?xml version="1.0" encoding="utf-8"?>
<sst xmlns="http://schemas.openxmlformats.org/spreadsheetml/2006/main" count="1189" uniqueCount="667">
  <si>
    <t>Price</t>
  </si>
  <si>
    <t>30B</t>
  </si>
  <si>
    <t>Base Unit 300mm wide</t>
  </si>
  <si>
    <t>40B</t>
  </si>
  <si>
    <t>Base Unit 400mm wide</t>
  </si>
  <si>
    <t>45B</t>
  </si>
  <si>
    <t>Base Unit 450mm wide</t>
  </si>
  <si>
    <t>50B</t>
  </si>
  <si>
    <t>Base Unit 500mm wide</t>
  </si>
  <si>
    <t>60B</t>
  </si>
  <si>
    <t>Base Unit 600mm wide</t>
  </si>
  <si>
    <t>80B</t>
  </si>
  <si>
    <t>Base Unit 800mm wide</t>
  </si>
  <si>
    <t>90B</t>
  </si>
  <si>
    <t>Base Unit 900mm wide</t>
  </si>
  <si>
    <t>100B</t>
  </si>
  <si>
    <t>Base Unit 1000mm wide</t>
  </si>
  <si>
    <t>120B</t>
  </si>
  <si>
    <t>Base Unit 1200mm wide</t>
  </si>
  <si>
    <t>standard height 720mm including 5mm for legs</t>
  </si>
  <si>
    <t>and 560mm deep</t>
  </si>
  <si>
    <t>60fid</t>
  </si>
  <si>
    <t>F/I appliance door 715 x 595</t>
  </si>
  <si>
    <t>30BDL</t>
  </si>
  <si>
    <t>Drawerline base unit 300mm wide</t>
  </si>
  <si>
    <t>40BDL</t>
  </si>
  <si>
    <t>Drawerline base unit 400mm wide</t>
  </si>
  <si>
    <t>45BDL</t>
  </si>
  <si>
    <t>Drawerline base unit 450mm wide</t>
  </si>
  <si>
    <t>50BDL</t>
  </si>
  <si>
    <t>Drawerline base unit 500mm wide</t>
  </si>
  <si>
    <t>60BDL</t>
  </si>
  <si>
    <t>Drawerline base unit 600mm wide</t>
  </si>
  <si>
    <t>80BDL</t>
  </si>
  <si>
    <t>Drawerline base unit 800mm wide</t>
  </si>
  <si>
    <t>90BDL</t>
  </si>
  <si>
    <t>Drawerline base unit 900mm wide</t>
  </si>
  <si>
    <t>100BDL</t>
  </si>
  <si>
    <t>Drawerline base unit 1000mm wide</t>
  </si>
  <si>
    <t>120BDL</t>
  </si>
  <si>
    <t>Drawerline base unit 1200mm wide</t>
  </si>
  <si>
    <t xml:space="preserve">drawer door price added with soft close mechanism </t>
  </si>
  <si>
    <t>800mm onwards requires 2 draws</t>
  </si>
  <si>
    <t>90BC</t>
  </si>
  <si>
    <t>95BC</t>
  </si>
  <si>
    <t>100BC</t>
  </si>
  <si>
    <t>110BC</t>
  </si>
  <si>
    <t>90BLC</t>
  </si>
  <si>
    <t>90BDC</t>
  </si>
  <si>
    <t>30BA</t>
  </si>
  <si>
    <t xml:space="preserve">Angled base (300mm door) 275mm </t>
  </si>
  <si>
    <t>40BA</t>
  </si>
  <si>
    <t xml:space="preserve">Angled base (400mm door) 365mm </t>
  </si>
  <si>
    <t>50BDD</t>
  </si>
  <si>
    <t>60BDD</t>
  </si>
  <si>
    <t>80BDD</t>
  </si>
  <si>
    <t>90BDD</t>
  </si>
  <si>
    <t>100BDD</t>
  </si>
  <si>
    <t>120BDD</t>
  </si>
  <si>
    <t>Code</t>
  </si>
  <si>
    <t>504DRW</t>
  </si>
  <si>
    <t>Drawers 4 x 175 = 500mm wide</t>
  </si>
  <si>
    <t>604DRW</t>
  </si>
  <si>
    <t>Drawers 4 x 175 = 600mm wide</t>
  </si>
  <si>
    <t>305DRW</t>
  </si>
  <si>
    <t>405DRW</t>
  </si>
  <si>
    <t>Drawers 5 x 140 400mm wide</t>
  </si>
  <si>
    <t>455DRW</t>
  </si>
  <si>
    <t>Drawers 5 x 140 450mm wide</t>
  </si>
  <si>
    <t>505DRW</t>
  </si>
  <si>
    <t>Drawers 5 x 140 500mm wide</t>
  </si>
  <si>
    <t>605DRW</t>
  </si>
  <si>
    <t>Drawers 5 x 140 600mm wide</t>
  </si>
  <si>
    <t>5021DRW</t>
  </si>
  <si>
    <t>Drawers 2 x 175 + 1 x 355 = 500mm wide</t>
  </si>
  <si>
    <t>6021DRW</t>
  </si>
  <si>
    <t>Drawers 2 x 175 + 1 x 355 = 600mm wide</t>
  </si>
  <si>
    <t>5031DRW</t>
  </si>
  <si>
    <t>Drawers 3 x 140 + 1 x 283 = 500mm wide</t>
  </si>
  <si>
    <t>6031DRW</t>
  </si>
  <si>
    <t>Drawers 3 x 140 + 1 x 283 =  600mm wide</t>
  </si>
  <si>
    <t>503DRW</t>
  </si>
  <si>
    <t>Drawers 1 x 140 + 2 x 283 = 500mm wide</t>
  </si>
  <si>
    <t>603DRW</t>
  </si>
  <si>
    <t>Drawers 1 x 140 + 2 x 283 = 600mm wide</t>
  </si>
  <si>
    <t>803DRW</t>
  </si>
  <si>
    <t>Drawers 1 x 140 + 2 x 283 = 800mm wide</t>
  </si>
  <si>
    <t>1003DRW</t>
  </si>
  <si>
    <t>Drawers 1 x 140 + 2 x 283 = 1000mm wide</t>
  </si>
  <si>
    <t>302DRW</t>
  </si>
  <si>
    <t>Drawers 2 x 355 = 300mm wide</t>
  </si>
  <si>
    <t>502DRW</t>
  </si>
  <si>
    <t>Drawers 2 x 355 = 500mm wide</t>
  </si>
  <si>
    <t>602DRW</t>
  </si>
  <si>
    <t>Drawers 2 x 355 = 600mm wide</t>
  </si>
  <si>
    <t>802DRW</t>
  </si>
  <si>
    <t>Drawers 2 x 355 = 800mm wide</t>
  </si>
  <si>
    <t>1002DRW</t>
  </si>
  <si>
    <t>Drawers 2 x 355 = 1000mm wide</t>
  </si>
  <si>
    <t xml:space="preserve">additional drawer prices added with soft close mechanism </t>
  </si>
  <si>
    <t>60SHSE</t>
  </si>
  <si>
    <t>Under Oven Housing 600mm wide</t>
  </si>
  <si>
    <t>90SHSE</t>
  </si>
  <si>
    <t>Under Oven Housing 900mm wide</t>
  </si>
  <si>
    <t>60SHSED</t>
  </si>
  <si>
    <t>Under Oven Housing with Drawer 600mm wide</t>
  </si>
  <si>
    <t>90SHSED</t>
  </si>
  <si>
    <t>Under Oven Housing with Drawer 900mm wide</t>
  </si>
  <si>
    <t>60MHSE</t>
  </si>
  <si>
    <t>Under Micro Housing 600mm wide</t>
  </si>
  <si>
    <t>Under Micro Housing with Drawer 900mm wide</t>
  </si>
  <si>
    <t>standard height 715mm plus 5mm legs</t>
  </si>
  <si>
    <t>LM60SO</t>
  </si>
  <si>
    <t>medium (1970mm high) single oven housing 600mm wide</t>
  </si>
  <si>
    <t>LM60DO</t>
  </si>
  <si>
    <t>medium (1970mm high) Double oven housing 600mm wide</t>
  </si>
  <si>
    <t>LM60SM</t>
  </si>
  <si>
    <t>medium (1970mm high) oven &amp; micro housing 600mm wide</t>
  </si>
  <si>
    <t>LT60SO</t>
  </si>
  <si>
    <t>tall (2150mm high) single oven housing 600mm wide</t>
  </si>
  <si>
    <t>LT60DO</t>
  </si>
  <si>
    <t>tall (2150mm high) double oven housing 600mm wide</t>
  </si>
  <si>
    <t>LT60SM</t>
  </si>
  <si>
    <t>tall (2150mm high) oven &amp; micro housing 600mm wide</t>
  </si>
  <si>
    <t>Lm60ff</t>
  </si>
  <si>
    <t>medium fridge freezer housing (1970 high) 600mm wide</t>
  </si>
  <si>
    <t>LT60FF</t>
  </si>
  <si>
    <t>tall fridge freezer housing (2150 high) 600mm wide</t>
  </si>
  <si>
    <t>Medium (1970mm high) larder with 4 shelves 300mm wide</t>
  </si>
  <si>
    <t>Medium (1970mm high) larder with 4 shelves 400mm wide</t>
  </si>
  <si>
    <t>Medium (1970mm high) larder with 4 shelves 450mm wide</t>
  </si>
  <si>
    <t>Medium (1970mm high) larder with 4 shelves 500mm wide</t>
  </si>
  <si>
    <t>Medium (1970mm high) larder with 4 shelves 600mm wide</t>
  </si>
  <si>
    <t>Tall (2150mm high) larder with 4 shelves 300mm wide</t>
  </si>
  <si>
    <t>Tall (2150mm high) larder with 4 shelves 400mm wide</t>
  </si>
  <si>
    <t>Tall (2150mm high) larder with 4 shelves 450mm wide</t>
  </si>
  <si>
    <t>Tall (2150mm high) larder with 4 shelves 500mm wide</t>
  </si>
  <si>
    <t>Tall (2150mm high) larder with 4 shelves 600mm wide</t>
  </si>
  <si>
    <t>30WS</t>
  </si>
  <si>
    <t>Standard Wall Unit 300mm wide</t>
  </si>
  <si>
    <t>40WS</t>
  </si>
  <si>
    <t>Standard Wall Unit 400mm wide</t>
  </si>
  <si>
    <t>45WS</t>
  </si>
  <si>
    <t>Standard Wall Unit 450mm wide</t>
  </si>
  <si>
    <t>50WS</t>
  </si>
  <si>
    <t>Standard Wall Unit 500mm wide</t>
  </si>
  <si>
    <t>60WS</t>
  </si>
  <si>
    <t>Standard Wall Unit 600mm wide</t>
  </si>
  <si>
    <t>80WS</t>
  </si>
  <si>
    <t>Standard Wall Unit 800mm wide</t>
  </si>
  <si>
    <t>100WS</t>
  </si>
  <si>
    <t>Standard Wall Unit 1000mm wide</t>
  </si>
  <si>
    <t>120WS</t>
  </si>
  <si>
    <t>Standard Wall Unit 1200mm wide</t>
  </si>
  <si>
    <t>Standard height 570mm and 300mm deep</t>
  </si>
  <si>
    <t>30W</t>
  </si>
  <si>
    <t>Medium Wall Unit 300mm wide</t>
  </si>
  <si>
    <t>40W</t>
  </si>
  <si>
    <t>Medium Wall Unit 400mm wide</t>
  </si>
  <si>
    <t>45W</t>
  </si>
  <si>
    <t>Medium Wall Unit 450mm wide</t>
  </si>
  <si>
    <t>50W</t>
  </si>
  <si>
    <t>Medium Wall Unit 500mm wide</t>
  </si>
  <si>
    <t>60W</t>
  </si>
  <si>
    <t>Medium Wall Unit 600mm wide</t>
  </si>
  <si>
    <t>80W</t>
  </si>
  <si>
    <t>Medium Wall Unit 800mm wide</t>
  </si>
  <si>
    <t>100W</t>
  </si>
  <si>
    <t>Medium Wall Unit 1000mm wide</t>
  </si>
  <si>
    <t>120W</t>
  </si>
  <si>
    <t>Medium Wall Unit 1200mm wide</t>
  </si>
  <si>
    <t>Standard height 720mm and 300mm deep</t>
  </si>
  <si>
    <t>50WA</t>
  </si>
  <si>
    <t>Medium Angle Wall Unit 500mm wide</t>
  </si>
  <si>
    <t>30WT</t>
  </si>
  <si>
    <t>Tall Wall Unit 300mm wide</t>
  </si>
  <si>
    <t>40WT</t>
  </si>
  <si>
    <t>Tall Wall Unit 400mm wide</t>
  </si>
  <si>
    <t>45WT</t>
  </si>
  <si>
    <t>Tall Wall Unit 450mm wide</t>
  </si>
  <si>
    <t>50WT</t>
  </si>
  <si>
    <t>Tall Wall Unit 500mm wide</t>
  </si>
  <si>
    <t>60WT</t>
  </si>
  <si>
    <t>Tall Wall Unit 600mm wide</t>
  </si>
  <si>
    <t>80WT</t>
  </si>
  <si>
    <t>Tall Wall Unit 800mm wide</t>
  </si>
  <si>
    <t>100WT</t>
  </si>
  <si>
    <t>Tall Wall Unit 1000mm wide</t>
  </si>
  <si>
    <t>120WT</t>
  </si>
  <si>
    <t>Tall Wall Unit 1200mm wide</t>
  </si>
  <si>
    <t>Standard height 900mm and 300mm deep</t>
  </si>
  <si>
    <t>60WC</t>
  </si>
  <si>
    <t>70WC</t>
  </si>
  <si>
    <t>80WC</t>
  </si>
  <si>
    <t>90WC</t>
  </si>
  <si>
    <t>standard height 570mm of all wall corner units</t>
  </si>
  <si>
    <t>60WDC</t>
  </si>
  <si>
    <t>60WLC</t>
  </si>
  <si>
    <t>BSH1</t>
  </si>
  <si>
    <t>Base Unit Shelf 300 - 600mm wide</t>
  </si>
  <si>
    <t>BSH2</t>
  </si>
  <si>
    <t>Base Unit Shelf 800 - 1200mm wide</t>
  </si>
  <si>
    <t>WSH1</t>
  </si>
  <si>
    <t>Wall Unit Shelf 300 - 600mm wide</t>
  </si>
  <si>
    <t>WSH2</t>
  </si>
  <si>
    <t>Wall Unit Shelf 800 - 1200mm wide</t>
  </si>
  <si>
    <t>BEP</t>
  </si>
  <si>
    <r>
      <t xml:space="preserve">Base end support panel </t>
    </r>
    <r>
      <rPr>
        <b/>
        <sz val="10"/>
        <color theme="1"/>
        <rFont val="Arial"/>
        <family val="2"/>
      </rPr>
      <t>(900mm high)</t>
    </r>
    <r>
      <rPr>
        <sz val="10"/>
        <color theme="1"/>
        <rFont val="Calibri"/>
        <family val="2"/>
        <scheme val="minor"/>
      </rPr>
      <t xml:space="preserve">  - 600mm wide</t>
    </r>
  </si>
  <si>
    <t>SMEP</t>
  </si>
  <si>
    <r>
      <t xml:space="preserve">Standard Larder end panel </t>
    </r>
    <r>
      <rPr>
        <b/>
        <sz val="10"/>
        <color theme="1"/>
        <rFont val="Arial"/>
        <family val="2"/>
      </rPr>
      <t>(2000mm high)</t>
    </r>
    <r>
      <rPr>
        <sz val="10"/>
        <color theme="1"/>
        <rFont val="Calibri"/>
        <family val="2"/>
        <scheme val="minor"/>
      </rPr>
      <t xml:space="preserve"> x 600mm wide</t>
    </r>
  </si>
  <si>
    <t>LMEP</t>
  </si>
  <si>
    <r>
      <t xml:space="preserve">Medium Larder end panel </t>
    </r>
    <r>
      <rPr>
        <b/>
        <sz val="10"/>
        <color theme="1"/>
        <rFont val="Arial"/>
        <family val="2"/>
      </rPr>
      <t>(2150mm high)</t>
    </r>
    <r>
      <rPr>
        <sz val="10"/>
        <color theme="1"/>
        <rFont val="Calibri"/>
        <family val="2"/>
        <scheme val="minor"/>
      </rPr>
      <t xml:space="preserve"> x 600mm wide</t>
    </r>
  </si>
  <si>
    <t>LTEP</t>
  </si>
  <si>
    <r>
      <t xml:space="preserve">Tall Larder end panel </t>
    </r>
    <r>
      <rPr>
        <b/>
        <sz val="10"/>
        <color theme="1"/>
        <rFont val="Arial"/>
        <family val="2"/>
      </rPr>
      <t>(2300mm high)</t>
    </r>
    <r>
      <rPr>
        <sz val="10"/>
        <color theme="1"/>
        <rFont val="Calibri"/>
        <family val="2"/>
        <scheme val="minor"/>
      </rPr>
      <t xml:space="preserve"> x 600mm wide</t>
    </r>
  </si>
  <si>
    <t>WSEP</t>
  </si>
  <si>
    <r>
      <t xml:space="preserve">Standard wall end panel </t>
    </r>
    <r>
      <rPr>
        <b/>
        <sz val="10"/>
        <color theme="1"/>
        <rFont val="Arial"/>
        <family val="2"/>
      </rPr>
      <t>(575mm high)</t>
    </r>
    <r>
      <rPr>
        <sz val="10"/>
        <color theme="1"/>
        <rFont val="Calibri"/>
        <family val="2"/>
        <scheme val="minor"/>
      </rPr>
      <t xml:space="preserve"> x 300mm</t>
    </r>
  </si>
  <si>
    <t>WEP</t>
  </si>
  <si>
    <r>
      <t xml:space="preserve">Medium wall end panel </t>
    </r>
    <r>
      <rPr>
        <b/>
        <sz val="10"/>
        <color theme="1"/>
        <rFont val="Arial"/>
        <family val="2"/>
      </rPr>
      <t>(720mm high)</t>
    </r>
    <r>
      <rPr>
        <sz val="10"/>
        <color theme="1"/>
        <rFont val="Calibri"/>
        <family val="2"/>
        <scheme val="minor"/>
      </rPr>
      <t xml:space="preserve"> x 300mm wide</t>
    </r>
  </si>
  <si>
    <t>WTEP</t>
  </si>
  <si>
    <r>
      <t xml:space="preserve">Tall wall end panel </t>
    </r>
    <r>
      <rPr>
        <b/>
        <sz val="10"/>
        <color theme="1"/>
        <rFont val="Arial"/>
        <family val="2"/>
      </rPr>
      <t>(900mm high)</t>
    </r>
    <r>
      <rPr>
        <sz val="10"/>
        <color theme="1"/>
        <rFont val="Calibri"/>
        <family val="2"/>
        <scheme val="minor"/>
      </rPr>
      <t xml:space="preserve"> x 300mm wide</t>
    </r>
  </si>
  <si>
    <t>DTEP</t>
  </si>
  <si>
    <r>
      <t xml:space="preserve">Tall wall end panel </t>
    </r>
    <r>
      <rPr>
        <b/>
        <sz val="10"/>
        <color theme="1"/>
        <rFont val="Arial"/>
        <family val="2"/>
      </rPr>
      <t>(1250mm high)</t>
    </r>
    <r>
      <rPr>
        <sz val="10"/>
        <color theme="1"/>
        <rFont val="Calibri"/>
        <family val="2"/>
        <scheme val="minor"/>
      </rPr>
      <t xml:space="preserve"> x 350mm wide</t>
    </r>
  </si>
  <si>
    <t>WSF</t>
  </si>
  <si>
    <r>
      <t xml:space="preserve">Standard wall filler </t>
    </r>
    <r>
      <rPr>
        <b/>
        <sz val="10"/>
        <color theme="1"/>
        <rFont val="Arial"/>
        <family val="2"/>
      </rPr>
      <t>(575mm high)</t>
    </r>
    <r>
      <rPr>
        <sz val="10"/>
        <color theme="1"/>
        <rFont val="Calibri"/>
        <family val="2"/>
        <scheme val="minor"/>
      </rPr>
      <t xml:space="preserve"> x 100mm wide</t>
    </r>
  </si>
  <si>
    <t>WF</t>
  </si>
  <si>
    <r>
      <t xml:space="preserve">Medium wall filler </t>
    </r>
    <r>
      <rPr>
        <b/>
        <sz val="10"/>
        <color theme="1"/>
        <rFont val="Arial"/>
        <family val="2"/>
      </rPr>
      <t>(720mm high)</t>
    </r>
    <r>
      <rPr>
        <sz val="10"/>
        <color theme="1"/>
        <rFont val="Calibri"/>
        <family val="2"/>
        <scheme val="minor"/>
      </rPr>
      <t xml:space="preserve"> x 100mm wide</t>
    </r>
  </si>
  <si>
    <t>WTF</t>
  </si>
  <si>
    <r>
      <t>Tall wall filler (</t>
    </r>
    <r>
      <rPr>
        <b/>
        <sz val="10"/>
        <color theme="1"/>
        <rFont val="Arial"/>
        <family val="2"/>
      </rPr>
      <t>900mm high)</t>
    </r>
    <r>
      <rPr>
        <sz val="10"/>
        <color theme="1"/>
        <rFont val="Calibri"/>
        <family val="2"/>
        <scheme val="minor"/>
      </rPr>
      <t xml:space="preserve"> x 100mm wide</t>
    </r>
  </si>
  <si>
    <t>DSF</t>
  </si>
  <si>
    <r>
      <t>Standard dresser filler (</t>
    </r>
    <r>
      <rPr>
        <b/>
        <sz val="10"/>
        <color theme="1"/>
        <rFont val="Arial"/>
        <family val="2"/>
      </rPr>
      <t>1065mm high)</t>
    </r>
    <r>
      <rPr>
        <sz val="10"/>
        <color theme="1"/>
        <rFont val="Calibri"/>
        <family val="2"/>
        <scheme val="minor"/>
      </rPr>
      <t xml:space="preserve"> x 100mm wide</t>
    </r>
  </si>
  <si>
    <t>DMF</t>
  </si>
  <si>
    <r>
      <t xml:space="preserve">Medium dresser filler </t>
    </r>
    <r>
      <rPr>
        <b/>
        <sz val="10"/>
        <color theme="1"/>
        <rFont val="Arial"/>
        <family val="2"/>
      </rPr>
      <t>(1210mm high)</t>
    </r>
    <r>
      <rPr>
        <sz val="10"/>
        <color theme="1"/>
        <rFont val="Calibri"/>
        <family val="2"/>
        <scheme val="minor"/>
      </rPr>
      <t xml:space="preserve"> x 100mm</t>
    </r>
  </si>
  <si>
    <t>DTF</t>
  </si>
  <si>
    <r>
      <t xml:space="preserve">Tall dresser filler </t>
    </r>
    <r>
      <rPr>
        <b/>
        <sz val="10"/>
        <color theme="1"/>
        <rFont val="Arial"/>
        <family val="2"/>
      </rPr>
      <t>(1390mm high)</t>
    </r>
    <r>
      <rPr>
        <sz val="10"/>
        <color theme="1"/>
        <rFont val="Calibri"/>
        <family val="2"/>
        <scheme val="minor"/>
      </rPr>
      <t xml:space="preserve"> x 100mm wide</t>
    </r>
  </si>
  <si>
    <t>LSF</t>
  </si>
  <si>
    <r>
      <t>Standard larder filler (</t>
    </r>
    <r>
      <rPr>
        <b/>
        <sz val="10"/>
        <color theme="1"/>
        <rFont val="Arial"/>
        <family val="2"/>
      </rPr>
      <t>1825mm high)</t>
    </r>
    <r>
      <rPr>
        <sz val="10"/>
        <color theme="1"/>
        <rFont val="Calibri"/>
        <family val="2"/>
        <scheme val="minor"/>
      </rPr>
      <t xml:space="preserve"> x 100mm wide</t>
    </r>
  </si>
  <si>
    <t>LMF</t>
  </si>
  <si>
    <r>
      <t xml:space="preserve">Medium larder filler </t>
    </r>
    <r>
      <rPr>
        <b/>
        <sz val="10"/>
        <color theme="1"/>
        <rFont val="Arial"/>
        <family val="2"/>
      </rPr>
      <t>(1970mm high)</t>
    </r>
    <r>
      <rPr>
        <sz val="10"/>
        <color theme="1"/>
        <rFont val="Calibri"/>
        <family val="2"/>
        <scheme val="minor"/>
      </rPr>
      <t xml:space="preserve"> x 100mm wide</t>
    </r>
  </si>
  <si>
    <t>LTF</t>
  </si>
  <si>
    <r>
      <t xml:space="preserve">Tall larder filler </t>
    </r>
    <r>
      <rPr>
        <b/>
        <sz val="10"/>
        <color theme="1"/>
        <rFont val="Arial"/>
        <family val="2"/>
      </rPr>
      <t>(2150mm high)</t>
    </r>
    <r>
      <rPr>
        <sz val="10"/>
        <color theme="1"/>
        <rFont val="Calibri"/>
        <family val="2"/>
        <scheme val="minor"/>
      </rPr>
      <t xml:space="preserve"> x 100mm wide</t>
    </r>
  </si>
  <si>
    <t>PL</t>
  </si>
  <si>
    <t>Plinth running length</t>
  </si>
  <si>
    <t>DRW85</t>
  </si>
  <si>
    <t>85mm metabox drawer</t>
  </si>
  <si>
    <t>DRW150</t>
  </si>
  <si>
    <t>150mm metabox drawer</t>
  </si>
  <si>
    <t>standard softclose drawer</t>
  </si>
  <si>
    <t>pan softclose drawer</t>
  </si>
  <si>
    <t>TAMSS60</t>
  </si>
  <si>
    <t>Tambour stainless steel 600mm</t>
  </si>
  <si>
    <t>TAMGL60</t>
  </si>
  <si>
    <t xml:space="preserve">Tambour glass 600mm </t>
  </si>
  <si>
    <t>TAMGL90</t>
  </si>
  <si>
    <t xml:space="preserve">Tambour glass 900mm </t>
  </si>
  <si>
    <t>HNG100</t>
  </si>
  <si>
    <t>HNG180</t>
  </si>
  <si>
    <t>CRVW</t>
  </si>
  <si>
    <t>curved wall unit 720mm high 300mm wide</t>
  </si>
  <si>
    <t>CRVB</t>
  </si>
  <si>
    <t>curved base unit 720mm high 300mm wide</t>
  </si>
  <si>
    <t>CRVCNR90</t>
  </si>
  <si>
    <t>corner curved unit 90 x 90</t>
  </si>
  <si>
    <t>CRVCNR120</t>
  </si>
  <si>
    <t>corner curved unit 120 x 120</t>
  </si>
  <si>
    <t>60BR285</t>
  </si>
  <si>
    <t>standard dridging unit (285mm door) x 300mm dp 290mm H</t>
  </si>
  <si>
    <t>60BR355</t>
  </si>
  <si>
    <t>medium bridging unit (355mm door) x 300mm dp 360mm H</t>
  </si>
  <si>
    <t>30SD1DRW</t>
  </si>
  <si>
    <t>standard dresser unit 1 x 300mm drawer</t>
  </si>
  <si>
    <t>40SD1DRW</t>
  </si>
  <si>
    <t>standard dresser unit 1 x 400mm drawer</t>
  </si>
  <si>
    <t>45SD1DRW</t>
  </si>
  <si>
    <t>standard dresser unit 1 x 450mm drawer</t>
  </si>
  <si>
    <t>50SD1DRW</t>
  </si>
  <si>
    <t>standard dresser unit 1 x 500mm drawer</t>
  </si>
  <si>
    <t>60SD1DRW</t>
  </si>
  <si>
    <t>standard dresser unit 1 x 600mm drawer</t>
  </si>
  <si>
    <t xml:space="preserve">standard height 1065mm </t>
  </si>
  <si>
    <t>30MD2DRW</t>
  </si>
  <si>
    <t>medium dresser unit 2 x 300 drawers</t>
  </si>
  <si>
    <t>40MD2DRW</t>
  </si>
  <si>
    <t>medium dresser unit 2 x 400 drawers</t>
  </si>
  <si>
    <t>45MD2DRW</t>
  </si>
  <si>
    <t>medium dresser unit 2 x 450 drawers</t>
  </si>
  <si>
    <t>50MD2DRW</t>
  </si>
  <si>
    <t>medium dresser unit 2 x 500 drawers</t>
  </si>
  <si>
    <t>60MD2DRW</t>
  </si>
  <si>
    <t>medium dresser unit 2 x 600 drawers</t>
  </si>
  <si>
    <t xml:space="preserve">standard height 1210mm </t>
  </si>
  <si>
    <t>30TD2DRW</t>
  </si>
  <si>
    <t xml:space="preserve">tall dresser unit 2 x drawer 300mm </t>
  </si>
  <si>
    <t>40TD2DRW</t>
  </si>
  <si>
    <t xml:space="preserve">tall dresser unit 2 x drawer 400mm </t>
  </si>
  <si>
    <t>45TD2DRW</t>
  </si>
  <si>
    <t xml:space="preserve">tall dresser unit 2 x drawer 450mm </t>
  </si>
  <si>
    <t>50TD2DRW</t>
  </si>
  <si>
    <t xml:space="preserve">tall dresser unit 2 x drawer 500mm </t>
  </si>
  <si>
    <t>60TD2DRW</t>
  </si>
  <si>
    <t xml:space="preserve">tall dresser unit 2 x drawer 600mm </t>
  </si>
  <si>
    <t>standard height 1390mm</t>
  </si>
  <si>
    <t>50PW</t>
  </si>
  <si>
    <t>peninsular wall unit 500mm</t>
  </si>
  <si>
    <t>60PW</t>
  </si>
  <si>
    <t>peninsular wall unit 600mm</t>
  </si>
  <si>
    <t>80PW</t>
  </si>
  <si>
    <t>peninsular wall unit 800mm</t>
  </si>
  <si>
    <t>100PW</t>
  </si>
  <si>
    <t>peninsular wall unit 1000mm</t>
  </si>
  <si>
    <t>120PW</t>
  </si>
  <si>
    <t>peninsular wall unit 1200mm</t>
  </si>
  <si>
    <t xml:space="preserve">standard height 720mm </t>
  </si>
  <si>
    <t>50TBS</t>
  </si>
  <si>
    <t>standard top box 500mm</t>
  </si>
  <si>
    <t>60TBS</t>
  </si>
  <si>
    <t>standard top box 600mm</t>
  </si>
  <si>
    <t>50TBM</t>
  </si>
  <si>
    <t>medium top box 500mm</t>
  </si>
  <si>
    <t>60TBM</t>
  </si>
  <si>
    <t>medium top box 600mm</t>
  </si>
  <si>
    <t>50TBT</t>
  </si>
  <si>
    <t>tall top box 500mm</t>
  </si>
  <si>
    <t>60TBT</t>
  </si>
  <si>
    <t>tall top box 600mm</t>
  </si>
  <si>
    <t>BEQ</t>
  </si>
  <si>
    <t>base end quad</t>
  </si>
  <si>
    <t>WEQ</t>
  </si>
  <si>
    <t>wall end quad</t>
  </si>
  <si>
    <t>DEQ</t>
  </si>
  <si>
    <t>dresser end quad</t>
  </si>
  <si>
    <t>LEQ</t>
  </si>
  <si>
    <t>larder end quad</t>
  </si>
  <si>
    <t>40R</t>
  </si>
  <si>
    <t>400mm wide robe</t>
  </si>
  <si>
    <t>50R</t>
  </si>
  <si>
    <t>500mm wide rode</t>
  </si>
  <si>
    <t>60R</t>
  </si>
  <si>
    <t>600mm wide robe</t>
  </si>
  <si>
    <t>80R</t>
  </si>
  <si>
    <t>800mm wide robe</t>
  </si>
  <si>
    <t>100R</t>
  </si>
  <si>
    <t>1000mm wide robe</t>
  </si>
  <si>
    <t>120R</t>
  </si>
  <si>
    <t>1200mm wide robe</t>
  </si>
  <si>
    <t>80RC</t>
  </si>
  <si>
    <t>800mm wide corner robe</t>
  </si>
  <si>
    <t>90RC</t>
  </si>
  <si>
    <t>900mm wide corner robe</t>
  </si>
  <si>
    <t>100RC</t>
  </si>
  <si>
    <t>1000mm wide corner robe</t>
  </si>
  <si>
    <t>120RC</t>
  </si>
  <si>
    <t>1200mm wide corner robe</t>
  </si>
  <si>
    <t>90RDCNR</t>
  </si>
  <si>
    <t>diagonal corner robe (496mm door)</t>
  </si>
  <si>
    <t>All above cabinet are 2160mm high x 560mm deep + legs</t>
  </si>
  <si>
    <t>40RLP</t>
  </si>
  <si>
    <t>linen press 1495mm door + 3 x 215mm drawers 400mm wide</t>
  </si>
  <si>
    <t>50RLP</t>
  </si>
  <si>
    <t>linen press 1495mm door + 3 x 215mm drawers 500mm wide</t>
  </si>
  <si>
    <t>60RLP</t>
  </si>
  <si>
    <t>linen press 1495mm door + 3 x 215mm drawers 600mm wide</t>
  </si>
  <si>
    <t>80RLP</t>
  </si>
  <si>
    <t>linen press 1495mm door + 3 x 215mm drawers 800mm wide</t>
  </si>
  <si>
    <t>100RLP</t>
  </si>
  <si>
    <t>linen press 1495mm door + 3 x 215mm drawers 1000mm wide</t>
  </si>
  <si>
    <t>standard 2160mm high + legs</t>
  </si>
  <si>
    <t>40BRS</t>
  </si>
  <si>
    <t>540mm high x 560mm deep deep bridging unit 400mm wide</t>
  </si>
  <si>
    <t>50BRS</t>
  </si>
  <si>
    <t>540mm high x 560mm deep deep bridging unit 500mm wide</t>
  </si>
  <si>
    <t>60BRS</t>
  </si>
  <si>
    <t>540mm high x 560mm deep deep bridging unit 600mm wide</t>
  </si>
  <si>
    <t>80BRS</t>
  </si>
  <si>
    <t>540mm high x 560mm deep deep bridging unit 800mm wide</t>
  </si>
  <si>
    <t>100BRS</t>
  </si>
  <si>
    <t>540mm high x 560mm deep deep bridging unit 1000mm wide</t>
  </si>
  <si>
    <t>120BRS</t>
  </si>
  <si>
    <t>540mm high x 560mm deep deep bridging unit 1200mm wide</t>
  </si>
  <si>
    <t>403BDRW</t>
  </si>
  <si>
    <t>760mm high x 490mm deep + 3 x 215mm drawers 400mm wide</t>
  </si>
  <si>
    <t>503BDRW</t>
  </si>
  <si>
    <t>760mm high x 490mm deep + 3 x 215mm drawers 500mm wide</t>
  </si>
  <si>
    <t>603BDRW</t>
  </si>
  <si>
    <t>760mm high x 490mm deep + 3 x 215mm drawers 600mm wide</t>
  </si>
  <si>
    <t>803BDRW</t>
  </si>
  <si>
    <t>760mm high x 490mm deep + 3 x 215mm drawers 800mm wide</t>
  </si>
  <si>
    <t>1003BDRW</t>
  </si>
  <si>
    <t>760mm high x 490mm deep + 3 x 215mm drawers 1000mm wide</t>
  </si>
  <si>
    <t>chest of drawers</t>
  </si>
  <si>
    <t>402BDRW</t>
  </si>
  <si>
    <t>540mm high x 490mm deep + 2 x 215mm drawers 400mm wide</t>
  </si>
  <si>
    <t>502BDRW</t>
  </si>
  <si>
    <t>540mm high x 490mm deep + 2 x 215mm drawers 500mm wide</t>
  </si>
  <si>
    <t>602BDRW</t>
  </si>
  <si>
    <t>540mm high x 490mm deep + 2 x 215mm drawers 600mm wide</t>
  </si>
  <si>
    <t>802BDRW</t>
  </si>
  <si>
    <t>540mm high x 490mm deep + 2 x 215mm drawers 800mm wide</t>
  </si>
  <si>
    <t>1002BDRW</t>
  </si>
  <si>
    <t>540mm high x 490mm deep + 2 x 215mm drawers 1000mm wide</t>
  </si>
  <si>
    <t>505BDRW</t>
  </si>
  <si>
    <t>1000mm high x 490mm deep + 5 x 175mm drawers 500mm wide</t>
  </si>
  <si>
    <t>605BDRW</t>
  </si>
  <si>
    <t>1000mm high x 490mm deep + 5 x 175mm drawers 600mm wide</t>
  </si>
  <si>
    <t>805BDRW</t>
  </si>
  <si>
    <t>1000mm high x 490mm deep + 5 x 175mm drawers 800mm wide</t>
  </si>
  <si>
    <t>1005BDRW</t>
  </si>
  <si>
    <t>1000mm high x 490mm deep + 5 x 175mm drawers 1000mm wide</t>
  </si>
  <si>
    <t>Category</t>
  </si>
  <si>
    <t>Base Units</t>
  </si>
  <si>
    <t>High Line</t>
  </si>
  <si>
    <t>Drawerline</t>
  </si>
  <si>
    <t>qty1</t>
  </si>
  <si>
    <t>Height1</t>
  </si>
  <si>
    <t>Width1</t>
  </si>
  <si>
    <t>qty2</t>
  </si>
  <si>
    <t>Height2</t>
  </si>
  <si>
    <t>Width2</t>
  </si>
  <si>
    <t>Width</t>
  </si>
  <si>
    <t>Height</t>
  </si>
  <si>
    <t>Depth</t>
  </si>
  <si>
    <t>qty3</t>
  </si>
  <si>
    <t>Height3</t>
  </si>
  <si>
    <t>Width3</t>
  </si>
  <si>
    <t xml:space="preserve">Corner </t>
  </si>
  <si>
    <t>Corner</t>
  </si>
  <si>
    <t xml:space="preserve">Base Units </t>
  </si>
  <si>
    <t>Dummy</t>
  </si>
  <si>
    <t>Draw Packs</t>
  </si>
  <si>
    <t>Appliance Housing</t>
  </si>
  <si>
    <t>Larder Units</t>
  </si>
  <si>
    <t>Medium</t>
  </si>
  <si>
    <t>Tall</t>
  </si>
  <si>
    <t xml:space="preserve">Wall Units </t>
  </si>
  <si>
    <t>Standard</t>
  </si>
  <si>
    <t>Medium Corner Wall 600mm wide 300mm blank/ 300mm door</t>
  </si>
  <si>
    <t>Medium Corner Wall 700mm wide 300mm blank/ 400mm door</t>
  </si>
  <si>
    <t>Medium Corner Wall 800mm wide 300mm blank/ 500mm door</t>
  </si>
  <si>
    <t>Medium Corner Wall 900mm wide 300mm blank/ 600mm door</t>
  </si>
  <si>
    <t>LM60DOD</t>
  </si>
  <si>
    <t>LM60SMD</t>
  </si>
  <si>
    <t>LT60DOD</t>
  </si>
  <si>
    <t>LT60SMD</t>
  </si>
  <si>
    <t xml:space="preserve">End Panels </t>
  </si>
  <si>
    <t xml:space="preserve">Fillers </t>
  </si>
  <si>
    <t>LM302</t>
  </si>
  <si>
    <t>LM402</t>
  </si>
  <si>
    <t>LM452</t>
  </si>
  <si>
    <t>LM502</t>
  </si>
  <si>
    <t>LM602</t>
  </si>
  <si>
    <t>LT302</t>
  </si>
  <si>
    <t>LT402</t>
  </si>
  <si>
    <t>LT452</t>
  </si>
  <si>
    <t>LT502</t>
  </si>
  <si>
    <t>LT602</t>
  </si>
  <si>
    <t>Finishing</t>
  </si>
  <si>
    <t>Plinth</t>
  </si>
  <si>
    <t>Wall Units</t>
  </si>
  <si>
    <t>Bridging</t>
  </si>
  <si>
    <t>Wardrobes</t>
  </si>
  <si>
    <t>standard</t>
  </si>
  <si>
    <t>Chest of drawers</t>
  </si>
  <si>
    <t>High</t>
  </si>
  <si>
    <t>Linen Press</t>
  </si>
  <si>
    <t>Peninsular</t>
  </si>
  <si>
    <t>Top Box</t>
  </si>
  <si>
    <t>100BCLM</t>
  </si>
  <si>
    <t>110BCLM</t>
  </si>
  <si>
    <t>qty4</t>
  </si>
  <si>
    <t>Hieght4</t>
  </si>
  <si>
    <t>Width4</t>
  </si>
  <si>
    <t>15BPO</t>
  </si>
  <si>
    <t>LM60SOD</t>
  </si>
  <si>
    <t>LT60SOD</t>
  </si>
  <si>
    <t>Cornerbase 1000mm wide (Lemans)</t>
  </si>
  <si>
    <t>Cornerbase 1100mm wide (Lemans)</t>
  </si>
  <si>
    <t>90BLCC</t>
  </si>
  <si>
    <t>LM40PO</t>
  </si>
  <si>
    <t>LM60PO</t>
  </si>
  <si>
    <t>Larder P/O</t>
  </si>
  <si>
    <t>Quad</t>
  </si>
  <si>
    <t xml:space="preserve">Misc </t>
  </si>
  <si>
    <t>Shelf</t>
  </si>
  <si>
    <t>50PB</t>
  </si>
  <si>
    <t>60PB</t>
  </si>
  <si>
    <t>80PB</t>
  </si>
  <si>
    <t>100PB</t>
  </si>
  <si>
    <t>120PB</t>
  </si>
  <si>
    <t>peninsular Base unit 500mm</t>
  </si>
  <si>
    <t>30PB</t>
  </si>
  <si>
    <t>40PB</t>
  </si>
  <si>
    <t>45PB</t>
  </si>
  <si>
    <t>90PB</t>
  </si>
  <si>
    <t>medium (1970mm high) single oven housing 600mm wide (Draw)</t>
  </si>
  <si>
    <t>medium (1970mm high) Double oven housing 600mm wide (Draw)</t>
  </si>
  <si>
    <t>medium (1970mm high) oven &amp; micro housing 600mm wide (Draw)</t>
  </si>
  <si>
    <t>tall (2150mm high) single oven housing 600mm wide (Draw)</t>
  </si>
  <si>
    <t>tall (2150mm high) double oven housing 600mm wide (Draw)</t>
  </si>
  <si>
    <t>tall (2150mm high) oven &amp; micro housing 600mm wide (Draw)</t>
  </si>
  <si>
    <t>Medium (1970mm high) 400mm larder with P/O</t>
  </si>
  <si>
    <t>Medium (1970mm high) 600mm larder with P/O</t>
  </si>
  <si>
    <t>peninsular Base unit 300mm</t>
  </si>
  <si>
    <t>peninsular Base unit 400mm</t>
  </si>
  <si>
    <t>peninsular Base unit 450mm</t>
  </si>
  <si>
    <t>peninsular Base unit 600mm</t>
  </si>
  <si>
    <t>peninsular Base unit 800mm</t>
  </si>
  <si>
    <t>peninsular Base unit 900mm</t>
  </si>
  <si>
    <t>peninsular Base unit 1000mm</t>
  </si>
  <si>
    <t>peninsular Base unit 1200mm</t>
  </si>
  <si>
    <t>Medium Corner Wall diagonal 600mm wide / 400mm door</t>
  </si>
  <si>
    <t xml:space="preserve">Medium Corner Wall L shape 600mm wide </t>
  </si>
  <si>
    <t>Dresser Units</t>
  </si>
  <si>
    <t>100 degree clip on hinge &amp; plate (pair)</t>
  </si>
  <si>
    <t>180 degree clip on hinge &amp; plate (pair)</t>
  </si>
  <si>
    <t>x1 standard Internal drawer</t>
  </si>
  <si>
    <t>Internal Draws</t>
  </si>
  <si>
    <t>Sliding Door (Single Colour)</t>
  </si>
  <si>
    <t>SDFM1</t>
  </si>
  <si>
    <t xml:space="preserve">Sliding Door - Full Mirror </t>
  </si>
  <si>
    <t>SDSC1</t>
  </si>
  <si>
    <t>SDSC3</t>
  </si>
  <si>
    <t>Sliding Door - x3 Split Colour</t>
  </si>
  <si>
    <t>Sliding Door - Extra Split</t>
  </si>
  <si>
    <t>Sliding</t>
  </si>
  <si>
    <t>sliding</t>
  </si>
  <si>
    <t>WDS</t>
  </si>
  <si>
    <t>SDS</t>
  </si>
  <si>
    <t>Standard Door Split</t>
  </si>
  <si>
    <t>Misc</t>
  </si>
  <si>
    <t>x1 Internal softclose drawer</t>
  </si>
  <si>
    <t>IDRW</t>
  </si>
  <si>
    <t>SCIDRW</t>
  </si>
  <si>
    <t>LM9090</t>
  </si>
  <si>
    <t>LT9090</t>
  </si>
  <si>
    <t>Medium (1970mm high) larder L/Corner 5 Shelves</t>
  </si>
  <si>
    <t>Tall (2150mm high) larder L/Corner 5 Shelves</t>
  </si>
  <si>
    <t>Tall (1970mm high) 400mm larder with P/O</t>
  </si>
  <si>
    <t>Tall (1970mm high) 600mm larder with P/O</t>
  </si>
  <si>
    <t>LT402PO</t>
  </si>
  <si>
    <t>LT602PO</t>
  </si>
  <si>
    <t>scdrwbxs</t>
  </si>
  <si>
    <t>scdrwbxp</t>
  </si>
  <si>
    <t>30WA</t>
  </si>
  <si>
    <t>Medium Angle Wall Unit 300mm wide</t>
  </si>
  <si>
    <t xml:space="preserve">Accessories </t>
  </si>
  <si>
    <t>Tambour</t>
  </si>
  <si>
    <t>Hinges</t>
  </si>
  <si>
    <t>Draw</t>
  </si>
  <si>
    <t>Curved</t>
  </si>
  <si>
    <t>90W</t>
  </si>
  <si>
    <t>Medium Wall Unit 900mm wide</t>
  </si>
  <si>
    <t>90WS</t>
  </si>
  <si>
    <t>Standard Wall Unit 900mm wide</t>
  </si>
  <si>
    <t>90WT</t>
  </si>
  <si>
    <t>Tall Wall Unit 900mm wide</t>
  </si>
  <si>
    <t>90WBI</t>
  </si>
  <si>
    <t>100WBI</t>
  </si>
  <si>
    <t>Medium Wall Unit 900mm wide - Bifold</t>
  </si>
  <si>
    <t>Medium Wall Unit 1000mm wide - Bifold</t>
  </si>
  <si>
    <t>80WBI</t>
  </si>
  <si>
    <t>Medium Wall Unit 800mm wide - Bifold</t>
  </si>
  <si>
    <t>Base Unit 150mm wide</t>
  </si>
  <si>
    <t>Description carcas only</t>
  </si>
  <si>
    <t>2016 Price</t>
  </si>
  <si>
    <t>2025 Price</t>
  </si>
  <si>
    <t>carcas price ex VAT</t>
  </si>
  <si>
    <t xml:space="preserve">215mm high x 396mm wide drawer front </t>
  </si>
  <si>
    <t xml:space="preserve">215mm high x 496mm wide drawer front </t>
  </si>
  <si>
    <t xml:space="preserve">215mm high x 596mm wide drawer front </t>
  </si>
  <si>
    <t xml:space="preserve">215mm high x 796mm wide drawer front </t>
  </si>
  <si>
    <t xml:space="preserve">215mm high x 896mm wide drawer front </t>
  </si>
  <si>
    <t xml:space="preserve">215mm high x 996mm wide drawer front </t>
  </si>
  <si>
    <t xml:space="preserve">175mm high x 396mm wide drawer front </t>
  </si>
  <si>
    <t xml:space="preserve">175mm high x 496mm wide drawer front </t>
  </si>
  <si>
    <t xml:space="preserve">175mm high x 596mm wide drawer front </t>
  </si>
  <si>
    <t xml:space="preserve">175mm high x 796mm wide drawer front </t>
  </si>
  <si>
    <t xml:space="preserve">175mm high x 896mm wide drawer front </t>
  </si>
  <si>
    <t xml:space="preserve">175mm high x 996mm wide drawer front </t>
  </si>
  <si>
    <t>Acrylic gloss/Matt</t>
  </si>
  <si>
    <t>vinyl doors</t>
  </si>
  <si>
    <t>Black Glass</t>
  </si>
  <si>
    <t>TOTAL</t>
  </si>
  <si>
    <t xml:space="preserve">  </t>
  </si>
  <si>
    <t xml:space="preserve">basic slab frnt door (2250 H) / drawer </t>
  </si>
  <si>
    <t>basic slab frnt door/ drawer</t>
  </si>
  <si>
    <t>and 560mm deep (575mm door, 145mm drawer front)</t>
  </si>
  <si>
    <t>Cornerbase 900mm wide (450mm door)</t>
  </si>
  <si>
    <t>Cornerbase 800mm wide (400mm door)</t>
  </si>
  <si>
    <t>Cornerbase 1000mm wide (500mm door)</t>
  </si>
  <si>
    <t>Cornerbase 1100mm wide (550mm door)</t>
  </si>
  <si>
    <t>Cornerbase 1200mm wide (600mm door)</t>
  </si>
  <si>
    <t>L shape corner base unit 900mm wide (346mm x 2 doors)</t>
  </si>
  <si>
    <t>Diagonal corner base unit 900mm wide (496mm door)</t>
  </si>
  <si>
    <t xml:space="preserve">L shape corner base unit 900mm wide (Carousel 346mm x 2 doors)) </t>
  </si>
  <si>
    <t>Dummy Draw base unit 500mm wide (175mm drawer front)</t>
  </si>
  <si>
    <t>Dummy Draw base unit 600mm wide (175mm drawer front)</t>
  </si>
  <si>
    <t xml:space="preserve">Dummy Draw base unit 800mm wide (175mm drawe front) </t>
  </si>
  <si>
    <t xml:space="preserve">Dummy Draw base unit 900mm wide (175mm drawe front) </t>
  </si>
  <si>
    <t xml:space="preserve">Dummy Draw base unit 1000mm wide (175mm drawe front) </t>
  </si>
  <si>
    <t xml:space="preserve">Dummy Draw base unit 1200mm wide (175mm drawe front) </t>
  </si>
  <si>
    <t xml:space="preserve">140mm high x 396mm wide drawer front </t>
  </si>
  <si>
    <t xml:space="preserve">140mm high x 496mm wide drawer front </t>
  </si>
  <si>
    <t xml:space="preserve">140mm high x 596mm wide drawer front </t>
  </si>
  <si>
    <t xml:space="preserve">140mm high x 796mm wide drawer front </t>
  </si>
  <si>
    <t xml:space="preserve">140mm high x 896mm wide drawer front </t>
  </si>
  <si>
    <t xml:space="preserve">140mm high x 996mm wide drawer front </t>
  </si>
  <si>
    <t xml:space="preserve">140mm high x 446mm wide drawer front </t>
  </si>
  <si>
    <t>Drawers 5 x 140 300mm wide</t>
  </si>
  <si>
    <t xml:space="preserve">355mm high x 396mm wide drawer front </t>
  </si>
  <si>
    <t xml:space="preserve">355mm high x 496mm wide drawer front </t>
  </si>
  <si>
    <t xml:space="preserve">355mm high x 596mm wide drawer front </t>
  </si>
  <si>
    <t xml:space="preserve">355mm high x 796mm wide drawer front </t>
  </si>
  <si>
    <t xml:space="preserve">355mm high x 896mm wide drawer front </t>
  </si>
  <si>
    <t xml:space="preserve">355mm high x 996mm wide drawer front </t>
  </si>
  <si>
    <t xml:space="preserve">355mm high x 296mm wide drawer front </t>
  </si>
  <si>
    <t xml:space="preserve">283mm high x 796mm wide drawer front </t>
  </si>
  <si>
    <t xml:space="preserve">283mm high x 396mm wide drawer front </t>
  </si>
  <si>
    <t xml:space="preserve">283mm high x 496mm wide drawer front </t>
  </si>
  <si>
    <t xml:space="preserve">283mm high x 596mm wide drawer front </t>
  </si>
  <si>
    <t xml:space="preserve">283mm high x 896mm wide drawer front </t>
  </si>
  <si>
    <t xml:space="preserve">283mm high x 996mm wide drawer front </t>
  </si>
  <si>
    <t xml:space="preserve">283mm high x 296mm wide drawer front </t>
  </si>
  <si>
    <t>Prices @ 60% (EQ)</t>
  </si>
  <si>
    <t xml:space="preserve">   </t>
  </si>
  <si>
    <t>542.35.164 600mm Pull Out Waste Bin</t>
  </si>
  <si>
    <t>542.35.163 500mm Pull Out Waste Bin</t>
  </si>
  <si>
    <t>542.35.306 Pull Out Glide Corner Base Left Hand</t>
  </si>
  <si>
    <t>542.35.305 Pull Out Glide Corner Base Right Hand</t>
  </si>
  <si>
    <t>Kitchen Quotation</t>
  </si>
  <si>
    <t xml:space="preserve">542.35.196 400mm Pull Out Larder </t>
  </si>
  <si>
    <t>542.35.187 300mm Pull Out Larder</t>
  </si>
  <si>
    <t>542.35.009 400mm Pull Out Base</t>
  </si>
  <si>
    <t>542.35.006 300mm Pull Out Base</t>
  </si>
  <si>
    <t>Internal Mirror</t>
  </si>
  <si>
    <t>800mm x 800mm Wall Mirror</t>
  </si>
  <si>
    <t>800mm x 1200mm+ Mirror</t>
  </si>
  <si>
    <t>Framed Door Mirror</t>
  </si>
  <si>
    <t>542.35.119 Pull Out Slide Single Shelf Corner Base Left Hand</t>
  </si>
  <si>
    <t>542.35.120 Pull Out Slide Single Shelf Corner Base Right Hand</t>
  </si>
  <si>
    <t>542.35.375 Magic Corner Complete Set Utensio Pro Left Hand</t>
  </si>
  <si>
    <t>542.35.378 Magic Corner Complete Set Utensio Pro Right Hand</t>
  </si>
  <si>
    <t>542.35.312 Inline Corner Complete Set Utensio Pro</t>
  </si>
  <si>
    <t>500mm Saucepan Tandembox Drawer</t>
  </si>
  <si>
    <t>Bedroom and Kitchen</t>
  </si>
  <si>
    <t>600mm Saucepan Tandembox Drawer</t>
  </si>
  <si>
    <t>800mm Saucepan Tandembox Drawer</t>
  </si>
  <si>
    <t>80STD</t>
  </si>
  <si>
    <t>1000mm Saucepan Tandembox Drawer</t>
  </si>
  <si>
    <t>100STD</t>
  </si>
  <si>
    <t>Ceiling Filler</t>
  </si>
  <si>
    <t>Tall Filler</t>
  </si>
  <si>
    <t>Base Filler</t>
  </si>
  <si>
    <t>Wall Filler</t>
  </si>
  <si>
    <t>Soffit</t>
  </si>
  <si>
    <t>Ceiling Rail</t>
  </si>
  <si>
    <t>Tall End Panel</t>
  </si>
  <si>
    <t>Base End Panel</t>
  </si>
  <si>
    <t>Wall End Panel</t>
  </si>
  <si>
    <t>Tall Wall End Panel</t>
  </si>
  <si>
    <t>Island End Panel</t>
  </si>
  <si>
    <t>Worktop Panel</t>
  </si>
  <si>
    <t>Handles</t>
  </si>
  <si>
    <t>Graf 2 bar handle alu 256mm (brass)</t>
  </si>
  <si>
    <t>Gola System b+ profile horizontal 4.1m (brushed brass anodised)</t>
  </si>
  <si>
    <t>Gola System c+ profile horizontal 4.1m (brushed brass anodised)</t>
  </si>
  <si>
    <t>Gola System d profile vertical 2.67m (brushed brass anodised)</t>
  </si>
  <si>
    <t>Gola System d end profile vertical 2.67m (brushed brass anodised)</t>
  </si>
  <si>
    <t>Gola System b+ profile connector int (brushed brass anodised)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</si>
</sst>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2" fontId="1" fillId="0" borderId="1" xfId="0" applyNumberFormat="1" applyFont="1" applyBorder="1"/>
    <xf numFmtId="2" fontId="0" fillId="0" borderId="0" xfId="0" applyNumberFormat="1"/>
    <xf numFmtId="0" fontId="7" fillId="0" borderId="0" xfId="0" applyFont="1"/>
    <xf numFmtId="2" fontId="8" fillId="0" borderId="0" xfId="0" applyNumberFormat="1" applyFont="1"/>
    <xf numFmtId="2" fontId="8" fillId="2" borderId="0" xfId="0" applyNumberFormat="1" applyFont="1" applyFill="1"/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6" xfId="0" applyBorder="1"/>
    <xf numFmtId="0" fontId="3" fillId="0" borderId="6" xfId="0" applyFont="1" applyBorder="1"/>
    <xf numFmtId="2" fontId="1" fillId="0" borderId="6" xfId="0" applyNumberFormat="1" applyFont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2" fontId="6" fillId="4" borderId="6" xfId="0" applyNumberFormat="1" applyFont="1" applyFill="1" applyBorder="1" applyAlignment="1">
      <alignment horizontal="center"/>
    </xf>
    <xf numFmtId="2" fontId="1" fillId="5" borderId="6" xfId="0" applyNumberFormat="1" applyFont="1" applyFill="1" applyBorder="1" applyAlignment="1">
      <alignment horizontal="center"/>
    </xf>
    <xf numFmtId="2" fontId="1" fillId="6" borderId="6" xfId="0" applyNumberFormat="1" applyFont="1" applyFill="1" applyBorder="1" applyAlignment="1">
      <alignment horizontal="center"/>
    </xf>
    <xf numFmtId="2" fontId="1" fillId="7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7" borderId="6" xfId="0" applyNumberFormat="1" applyFont="1" applyFill="1" applyBorder="1" applyAlignment="1">
      <alignment horizontal="center"/>
    </xf>
    <xf numFmtId="0" fontId="4" fillId="0" borderId="6" xfId="0" applyFont="1" applyBorder="1"/>
    <xf numFmtId="2" fontId="0" fillId="0" borderId="6" xfId="0" applyNumberFormat="1" applyBorder="1"/>
    <xf numFmtId="2" fontId="1" fillId="4" borderId="6" xfId="0" applyNumberFormat="1" applyFont="1" applyFill="1" applyBorder="1" applyAlignment="1">
      <alignment horizontal="center"/>
    </xf>
    <xf numFmtId="2" fontId="1" fillId="0" borderId="6" xfId="0" applyNumberFormat="1" applyFont="1" applyBorder="1"/>
    <xf numFmtId="2" fontId="1" fillId="3" borderId="6" xfId="0" applyNumberFormat="1" applyFont="1" applyFill="1" applyBorder="1"/>
    <xf numFmtId="2" fontId="1" fillId="6" borderId="6" xfId="0" applyNumberFormat="1" applyFont="1" applyFill="1" applyBorder="1"/>
    <xf numFmtId="2" fontId="1" fillId="7" borderId="6" xfId="0" applyNumberFormat="1" applyFont="1" applyFill="1" applyBorder="1"/>
    <xf numFmtId="0" fontId="1" fillId="0" borderId="6" xfId="0" applyFont="1" applyBorder="1"/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vertical="center"/>
    </xf>
    <xf numFmtId="0" fontId="0" fillId="0" borderId="7" xfId="0" applyBorder="1"/>
    <xf numFmtId="2" fontId="0" fillId="0" borderId="7" xfId="0" applyNumberFormat="1" applyBorder="1"/>
    <xf numFmtId="2" fontId="0" fillId="0" borderId="7" xfId="0" applyNumberForma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0" fontId="0" fillId="0" borderId="8" xfId="0" applyBorder="1"/>
    <xf numFmtId="0" fontId="3" fillId="0" borderId="8" xfId="0" applyFont="1" applyBorder="1"/>
    <xf numFmtId="2" fontId="1" fillId="0" borderId="8" xfId="0" applyNumberFormat="1" applyFont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6" fillId="4" borderId="8" xfId="0" applyNumberFormat="1" applyFont="1" applyFill="1" applyBorder="1" applyAlignment="1">
      <alignment horizontal="center"/>
    </xf>
    <xf numFmtId="2" fontId="1" fillId="5" borderId="8" xfId="0" applyNumberFormat="1" applyFon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7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1" fillId="2" borderId="6" xfId="0" applyNumberFormat="1" applyFont="1" applyFill="1" applyBorder="1"/>
    <xf numFmtId="2" fontId="0" fillId="2" borderId="0" xfId="0" applyNumberFormat="1" applyFill="1" applyAlignment="1">
      <alignment vertical="center"/>
    </xf>
    <xf numFmtId="2" fontId="0" fillId="2" borderId="0" xfId="0" applyNumberFormat="1" applyFill="1"/>
    <xf numFmtId="2" fontId="0" fillId="2" borderId="6" xfId="0" applyNumberForma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 wrapText="1"/>
    </xf>
    <xf numFmtId="2" fontId="11" fillId="3" borderId="3" xfId="0" applyNumberFormat="1" applyFont="1" applyFill="1" applyBorder="1" applyAlignment="1">
      <alignment horizontal="center" vertical="center" wrapText="1"/>
    </xf>
    <xf numFmtId="2" fontId="11" fillId="4" borderId="3" xfId="0" applyNumberFormat="1" applyFont="1" applyFill="1" applyBorder="1" applyAlignment="1">
      <alignment horizontal="center" vertical="center" wrapText="1"/>
    </xf>
    <xf numFmtId="2" fontId="11" fillId="5" borderId="3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2" fontId="6" fillId="2" borderId="6" xfId="0" applyNumberFormat="1" applyFont="1" applyFill="1" applyBorder="1"/>
    <xf numFmtId="2" fontId="1" fillId="4" borderId="6" xfId="0" applyNumberFormat="1" applyFont="1" applyFill="1" applyBorder="1"/>
    <xf numFmtId="0" fontId="2" fillId="0" borderId="6" xfId="0" applyFont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3" fillId="0" borderId="7" xfId="0" applyFont="1" applyBorder="1"/>
    <xf numFmtId="2" fontId="1" fillId="0" borderId="7" xfId="0" applyNumberFormat="1" applyFont="1" applyBorder="1"/>
    <xf numFmtId="0" fontId="1" fillId="0" borderId="7" xfId="0" applyFont="1" applyBorder="1"/>
    <xf numFmtId="2" fontId="1" fillId="4" borderId="8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" fillId="5" borderId="6" xfId="0" applyNumberFormat="1" applyFont="1" applyFill="1" applyBorder="1"/>
    <xf numFmtId="2" fontId="2" fillId="5" borderId="6" xfId="0" applyNumberFormat="1" applyFont="1" applyFill="1" applyBorder="1" applyAlignment="1">
      <alignment horizontal="center"/>
    </xf>
    <xf numFmtId="2" fontId="2" fillId="6" borderId="6" xfId="0" applyNumberFormat="1" applyFont="1" applyFill="1" applyBorder="1" applyAlignment="1">
      <alignment horizontal="center"/>
    </xf>
    <xf numFmtId="2" fontId="2" fillId="7" borderId="6" xfId="0" applyNumberFormat="1" applyFont="1" applyFill="1" applyBorder="1" applyAlignment="1">
      <alignment horizontal="center"/>
    </xf>
    <xf numFmtId="0" fontId="13" fillId="0" borderId="6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10" xfId="0" applyFont="1" applyBorder="1"/>
    <xf numFmtId="0" fontId="14" fillId="0" borderId="11" xfId="0" applyFont="1" applyBorder="1"/>
    <xf numFmtId="2" fontId="6" fillId="2" borderId="12" xfId="0" applyNumberFormat="1" applyFont="1" applyFill="1" applyBorder="1"/>
    <xf numFmtId="2" fontId="1" fillId="0" borderId="12" xfId="0" applyNumberFormat="1" applyFont="1" applyBorder="1"/>
    <xf numFmtId="2" fontId="6" fillId="2" borderId="9" xfId="0" applyNumberFormat="1" applyFont="1" applyFill="1" applyBorder="1"/>
    <xf numFmtId="2" fontId="1" fillId="0" borderId="9" xfId="0" applyNumberFormat="1" applyFont="1" applyBorder="1"/>
    <xf numFmtId="2" fontId="0" fillId="2" borderId="9" xfId="0" applyNumberFormat="1" applyFill="1" applyBorder="1" applyAlignment="1">
      <alignment horizontal="center" vertical="center"/>
    </xf>
    <xf numFmtId="2" fontId="8" fillId="2" borderId="9" xfId="0" applyNumberFormat="1" applyFont="1" applyFill="1" applyBorder="1"/>
    <xf numFmtId="2" fontId="0" fillId="0" borderId="9" xfId="0" applyNumberFormat="1" applyBorder="1"/>
    <xf numFmtId="2" fontId="0" fillId="0" borderId="9" xfId="0" applyNumberFormat="1" applyBorder="1" applyAlignment="1">
      <alignment horizontal="center"/>
    </xf>
    <xf numFmtId="0" fontId="1" fillId="8" borderId="6" xfId="0" applyFont="1" applyFill="1" applyBorder="1"/>
    <xf numFmtId="2" fontId="6" fillId="8" borderId="6" xfId="0" applyNumberFormat="1" applyFont="1" applyFill="1" applyBorder="1" applyAlignment="1">
      <alignment horizontal="center"/>
    </xf>
    <xf numFmtId="2" fontId="1" fillId="8" borderId="6" xfId="0" applyNumberFormat="1" applyFont="1" applyFill="1" applyBorder="1" applyAlignment="1">
      <alignment horizontal="center"/>
    </xf>
    <xf numFmtId="0" fontId="3" fillId="8" borderId="6" xfId="0" applyFont="1" applyFill="1" applyBorder="1"/>
    <xf numFmtId="0" fontId="14" fillId="0" borderId="13" xfId="0" applyFont="1" applyBorder="1"/>
    <xf numFmtId="0" fontId="0" fillId="0" borderId="9" xfId="0" applyBorder="1"/>
    <xf numFmtId="2" fontId="0" fillId="2" borderId="1" xfId="0" applyNumberForma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0" borderId="0" xfId="0" applyNumberFormat="1" applyBorder="1"/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8" fillId="0" borderId="4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"/>
  <sheetViews>
    <sheetView workbookViewId="0">
      <selection activeCell="B4" sqref="B4"/>
    </sheetView>
  </sheetViews>
  <sheetFormatPr defaultRowHeight="15" x14ac:dyDescent="0.25"/>
  <sheetData>
    <row r="2" spans="2:5" x14ac:dyDescent="0.25">
      <c r="B2" s="109" t="s">
        <v>627</v>
      </c>
      <c r="C2" s="109"/>
      <c r="D2" s="109"/>
      <c r="E2" s="109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4489-F8C2-4146-8F02-F37E62F6A6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2"/>
  <sheetViews>
    <sheetView topLeftCell="B1" zoomScaleNormal="100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F54" sqref="F54"/>
    </sheetView>
  </sheetViews>
  <sheetFormatPr defaultRowHeight="15" x14ac:dyDescent="0.25"/>
  <cols>
    <col min="1" max="1" width="10.42578125" bestFit="1" customWidth="1"/>
    <col min="2" max="2" width="59.42578125" bestFit="1" customWidth="1"/>
    <col min="3" max="3" width="13.28515625" style="9" hidden="1" customWidth="1"/>
    <col min="4" max="4" width="12.7109375" style="6" customWidth="1"/>
    <col min="5" max="5" width="17.42578125" style="6" hidden="1" customWidth="1"/>
    <col min="6" max="6" width="17.42578125" style="6" customWidth="1"/>
    <col min="7" max="7" width="11.5703125" style="6" customWidth="1"/>
    <col min="8" max="8" width="12.5703125" style="6" customWidth="1"/>
    <col min="9" max="13" width="11.5703125" style="6" customWidth="1"/>
    <col min="14" max="14" width="7.28515625" bestFit="1" customWidth="1"/>
    <col min="15" max="15" width="8.140625" bestFit="1" customWidth="1"/>
    <col min="16" max="16" width="7.5703125" bestFit="1" customWidth="1"/>
    <col min="17" max="17" width="12.140625" bestFit="1" customWidth="1"/>
    <col min="18" max="18" width="15.28515625" style="2" bestFit="1" customWidth="1"/>
    <col min="19" max="19" width="4.42578125" bestFit="1" customWidth="1"/>
    <col min="20" max="20" width="7" bestFit="1" customWidth="1"/>
    <col min="21" max="21" width="6.7109375" bestFit="1" customWidth="1"/>
    <col min="22" max="22" width="4.42578125" bestFit="1" customWidth="1"/>
    <col min="23" max="23" width="7" bestFit="1" customWidth="1"/>
    <col min="24" max="24" width="6.7109375" bestFit="1" customWidth="1"/>
    <col min="25" max="25" width="4.42578125" bestFit="1" customWidth="1"/>
    <col min="26" max="26" width="7" bestFit="1" customWidth="1"/>
    <col min="27" max="27" width="6.7109375" bestFit="1" customWidth="1"/>
    <col min="28" max="28" width="4.42578125" style="4" bestFit="1" customWidth="1"/>
    <col min="29" max="29" width="7" bestFit="1" customWidth="1"/>
    <col min="30" max="30" width="6.7109375" style="2" bestFit="1" customWidth="1"/>
  </cols>
  <sheetData>
    <row r="1" spans="1:30" x14ac:dyDescent="0.25">
      <c r="D1" s="8">
        <v>2.67</v>
      </c>
      <c r="E1" s="8"/>
      <c r="F1" s="8"/>
      <c r="G1" s="8"/>
      <c r="H1" s="8">
        <v>1.5</v>
      </c>
      <c r="I1" s="8"/>
      <c r="J1" s="8"/>
      <c r="K1" s="8"/>
      <c r="L1" s="8"/>
      <c r="M1" s="8"/>
      <c r="N1" s="7"/>
      <c r="O1" s="7"/>
    </row>
    <row r="2" spans="1:30" ht="15.75" thickBot="1" x14ac:dyDescent="0.3">
      <c r="C2" s="110" t="s">
        <v>564</v>
      </c>
      <c r="D2" s="111"/>
      <c r="E2" s="48" t="s">
        <v>621</v>
      </c>
      <c r="F2" s="48">
        <v>1.07</v>
      </c>
      <c r="G2" s="10"/>
      <c r="H2" s="9"/>
      <c r="I2" s="8"/>
      <c r="J2" s="9"/>
      <c r="K2" s="8"/>
      <c r="L2" s="9"/>
      <c r="M2" s="8"/>
      <c r="R2"/>
      <c r="AB2"/>
      <c r="AD2"/>
    </row>
    <row r="3" spans="1:30" ht="48" thickBot="1" x14ac:dyDescent="0.3">
      <c r="A3" s="61" t="s">
        <v>59</v>
      </c>
      <c r="B3" s="79" t="s">
        <v>561</v>
      </c>
      <c r="C3" s="80" t="s">
        <v>562</v>
      </c>
      <c r="D3" s="81" t="s">
        <v>563</v>
      </c>
      <c r="E3" s="64" t="s">
        <v>583</v>
      </c>
      <c r="F3" s="64" t="s">
        <v>582</v>
      </c>
      <c r="G3" s="64" t="s">
        <v>580</v>
      </c>
      <c r="H3" s="65" t="s">
        <v>577</v>
      </c>
      <c r="I3" s="65" t="s">
        <v>580</v>
      </c>
      <c r="J3" s="66" t="s">
        <v>578</v>
      </c>
      <c r="K3" s="66" t="s">
        <v>580</v>
      </c>
      <c r="L3" s="67" t="s">
        <v>579</v>
      </c>
      <c r="M3" s="67" t="s">
        <v>580</v>
      </c>
      <c r="N3" s="61" t="s">
        <v>417</v>
      </c>
      <c r="O3" s="61" t="s">
        <v>418</v>
      </c>
      <c r="P3" s="61" t="s">
        <v>419</v>
      </c>
      <c r="Q3" s="79" t="s">
        <v>407</v>
      </c>
      <c r="R3" s="79" t="s">
        <v>407</v>
      </c>
      <c r="S3" s="79" t="s">
        <v>411</v>
      </c>
      <c r="T3" s="79" t="s">
        <v>412</v>
      </c>
      <c r="U3" s="79" t="s">
        <v>413</v>
      </c>
      <c r="V3" s="79" t="s">
        <v>414</v>
      </c>
      <c r="W3" s="79" t="s">
        <v>415</v>
      </c>
      <c r="X3" s="79" t="s">
        <v>416</v>
      </c>
      <c r="Y3" s="79" t="s">
        <v>420</v>
      </c>
      <c r="Z3" s="79" t="s">
        <v>421</v>
      </c>
      <c r="AA3" s="79" t="s">
        <v>422</v>
      </c>
      <c r="AB3" s="79" t="s">
        <v>467</v>
      </c>
      <c r="AC3" s="79" t="s">
        <v>468</v>
      </c>
      <c r="AD3" s="79" t="s">
        <v>469</v>
      </c>
    </row>
    <row r="4" spans="1:30" x14ac:dyDescent="0.25">
      <c r="A4" s="39" t="s">
        <v>470</v>
      </c>
      <c r="B4" s="40" t="s">
        <v>560</v>
      </c>
      <c r="C4" s="49">
        <v>30</v>
      </c>
      <c r="D4" s="41">
        <f>PRODUCT(C4,$D$1)</f>
        <v>80.099999999999994</v>
      </c>
      <c r="E4" s="41">
        <v>14.3</v>
      </c>
      <c r="F4" s="42">
        <f>PRODUCT(E4,$F$2)</f>
        <v>15.301000000000002</v>
      </c>
      <c r="G4" s="78">
        <f>D4+E4</f>
        <v>94.399999999999991</v>
      </c>
      <c r="H4" s="41">
        <f>PRODUCT(F4,$H$1)</f>
        <v>22.951500000000003</v>
      </c>
      <c r="I4" s="44">
        <f t="shared" ref="I4:I13" si="0">D4+H4</f>
        <v>103.0515</v>
      </c>
      <c r="J4" s="56">
        <f>PRODUCT(F4,$J$2)</f>
        <v>15.301000000000002</v>
      </c>
      <c r="K4" s="45">
        <f>SUM(D4+J4)</f>
        <v>95.400999999999996</v>
      </c>
      <c r="L4" s="41"/>
      <c r="M4" s="46"/>
      <c r="N4" s="47">
        <v>150</v>
      </c>
      <c r="O4" s="47">
        <v>720</v>
      </c>
      <c r="P4" s="47">
        <v>560</v>
      </c>
      <c r="Q4" s="39" t="s">
        <v>408</v>
      </c>
      <c r="R4" s="39" t="s">
        <v>409</v>
      </c>
      <c r="S4" s="39">
        <v>1</v>
      </c>
      <c r="T4" s="39">
        <v>715</v>
      </c>
      <c r="U4" s="39">
        <v>145</v>
      </c>
      <c r="V4" s="39"/>
      <c r="W4" s="39"/>
      <c r="X4" s="39"/>
      <c r="Y4" s="39"/>
      <c r="Z4" s="39"/>
      <c r="AA4" s="39"/>
      <c r="AB4" s="39"/>
      <c r="AC4" s="39"/>
      <c r="AD4" s="39"/>
    </row>
    <row r="5" spans="1:30" x14ac:dyDescent="0.25">
      <c r="A5" s="14" t="s">
        <v>1</v>
      </c>
      <c r="B5" s="15" t="s">
        <v>2</v>
      </c>
      <c r="C5" s="50">
        <v>34.1</v>
      </c>
      <c r="D5" s="16">
        <f t="shared" ref="D5:D13" si="1">PRODUCT(C5,$D$1)</f>
        <v>91.046999999999997</v>
      </c>
      <c r="E5" s="16">
        <v>24.45</v>
      </c>
      <c r="F5" s="42">
        <f t="shared" ref="F5:F60" si="2">PRODUCT(E5,$F$2)</f>
        <v>26.1615</v>
      </c>
      <c r="G5" s="78">
        <f t="shared" ref="G5:G13" si="3">D5+E5</f>
        <v>115.497</v>
      </c>
      <c r="H5" s="41">
        <f t="shared" ref="H5:H49" si="4">PRODUCT(F5,$H$1)</f>
        <v>39.242249999999999</v>
      </c>
      <c r="I5" s="44">
        <f t="shared" si="0"/>
        <v>130.28924999999998</v>
      </c>
      <c r="J5" s="56">
        <f t="shared" ref="J5:J9" si="5">PRODUCT(F5,$J$2)</f>
        <v>26.1615</v>
      </c>
      <c r="K5" s="45">
        <f t="shared" ref="K5:K60" si="6">SUM(D5+J5)</f>
        <v>117.2085</v>
      </c>
      <c r="L5" s="16"/>
      <c r="M5" s="21"/>
      <c r="N5" s="22">
        <v>300</v>
      </c>
      <c r="O5" s="22">
        <v>720</v>
      </c>
      <c r="P5" s="22">
        <v>560</v>
      </c>
      <c r="Q5" s="14" t="s">
        <v>408</v>
      </c>
      <c r="R5" s="14" t="s">
        <v>409</v>
      </c>
      <c r="S5" s="14">
        <v>1</v>
      </c>
      <c r="T5" s="14">
        <v>715</v>
      </c>
      <c r="U5" s="14">
        <v>295</v>
      </c>
      <c r="V5" s="14"/>
      <c r="W5" s="14"/>
      <c r="X5" s="14"/>
      <c r="Y5" s="14"/>
      <c r="Z5" s="14"/>
      <c r="AA5" s="14"/>
      <c r="AB5" s="14"/>
      <c r="AC5" s="14"/>
      <c r="AD5" s="14"/>
    </row>
    <row r="6" spans="1:30" x14ac:dyDescent="0.25">
      <c r="A6" s="14" t="s">
        <v>3</v>
      </c>
      <c r="B6" s="15" t="s">
        <v>4</v>
      </c>
      <c r="C6" s="50">
        <v>35.200000000000003</v>
      </c>
      <c r="D6" s="16">
        <f t="shared" si="1"/>
        <v>93.984000000000009</v>
      </c>
      <c r="E6" s="16">
        <v>29.11</v>
      </c>
      <c r="F6" s="42">
        <f t="shared" si="2"/>
        <v>31.1477</v>
      </c>
      <c r="G6" s="78">
        <f t="shared" si="3"/>
        <v>123.09400000000001</v>
      </c>
      <c r="H6" s="41">
        <f t="shared" si="4"/>
        <v>46.721550000000001</v>
      </c>
      <c r="I6" s="44">
        <f t="shared" si="0"/>
        <v>140.70555000000002</v>
      </c>
      <c r="J6" s="56">
        <f t="shared" si="5"/>
        <v>31.1477</v>
      </c>
      <c r="K6" s="45">
        <f t="shared" si="6"/>
        <v>125.13170000000001</v>
      </c>
      <c r="L6" s="16"/>
      <c r="M6" s="21"/>
      <c r="N6" s="22">
        <v>400</v>
      </c>
      <c r="O6" s="22">
        <v>720</v>
      </c>
      <c r="P6" s="22">
        <v>560</v>
      </c>
      <c r="Q6" s="14" t="s">
        <v>408</v>
      </c>
      <c r="R6" s="14" t="s">
        <v>409</v>
      </c>
      <c r="S6" s="14">
        <v>1</v>
      </c>
      <c r="T6" s="14">
        <v>715</v>
      </c>
      <c r="U6" s="14">
        <v>395</v>
      </c>
      <c r="V6" s="14"/>
      <c r="W6" s="14"/>
      <c r="X6" s="14"/>
      <c r="Y6" s="14"/>
      <c r="Z6" s="14"/>
      <c r="AA6" s="14"/>
      <c r="AB6" s="14"/>
      <c r="AC6" s="14"/>
      <c r="AD6" s="14"/>
    </row>
    <row r="7" spans="1:30" x14ac:dyDescent="0.25">
      <c r="A7" s="14" t="s">
        <v>5</v>
      </c>
      <c r="B7" s="15" t="s">
        <v>6</v>
      </c>
      <c r="C7" s="50">
        <v>36.299999999999997</v>
      </c>
      <c r="D7" s="16">
        <f t="shared" si="1"/>
        <v>96.920999999999992</v>
      </c>
      <c r="E7" s="16">
        <v>31.32</v>
      </c>
      <c r="F7" s="42">
        <f t="shared" si="2"/>
        <v>33.5124</v>
      </c>
      <c r="G7" s="78">
        <f t="shared" si="3"/>
        <v>128.24099999999999</v>
      </c>
      <c r="H7" s="41">
        <f t="shared" si="4"/>
        <v>50.268599999999999</v>
      </c>
      <c r="I7" s="44">
        <f t="shared" si="0"/>
        <v>147.18959999999998</v>
      </c>
      <c r="J7" s="56">
        <f t="shared" si="5"/>
        <v>33.5124</v>
      </c>
      <c r="K7" s="45">
        <f t="shared" si="6"/>
        <v>130.43340000000001</v>
      </c>
      <c r="L7" s="16"/>
      <c r="M7" s="21"/>
      <c r="N7" s="22">
        <v>450</v>
      </c>
      <c r="O7" s="22">
        <v>720</v>
      </c>
      <c r="P7" s="22">
        <v>560</v>
      </c>
      <c r="Q7" s="14" t="s">
        <v>408</v>
      </c>
      <c r="R7" s="14" t="s">
        <v>409</v>
      </c>
      <c r="S7" s="14">
        <v>1</v>
      </c>
      <c r="T7" s="14">
        <v>715</v>
      </c>
      <c r="U7" s="14">
        <v>445</v>
      </c>
      <c r="V7" s="14"/>
      <c r="W7" s="14"/>
      <c r="X7" s="14"/>
      <c r="Y7" s="14"/>
      <c r="Z7" s="14"/>
      <c r="AA7" s="14"/>
      <c r="AB7" s="14"/>
      <c r="AC7" s="14"/>
      <c r="AD7" s="14"/>
    </row>
    <row r="8" spans="1:30" x14ac:dyDescent="0.25">
      <c r="A8" s="14" t="s">
        <v>7</v>
      </c>
      <c r="B8" s="15" t="s">
        <v>8</v>
      </c>
      <c r="C8" s="50">
        <v>37.4</v>
      </c>
      <c r="D8" s="16">
        <f t="shared" si="1"/>
        <v>99.85799999999999</v>
      </c>
      <c r="E8" s="16">
        <v>32.22</v>
      </c>
      <c r="F8" s="42">
        <f t="shared" si="2"/>
        <v>34.4754</v>
      </c>
      <c r="G8" s="78">
        <f t="shared" si="3"/>
        <v>132.07799999999997</v>
      </c>
      <c r="H8" s="41">
        <f t="shared" si="4"/>
        <v>51.713099999999997</v>
      </c>
      <c r="I8" s="44">
        <f t="shared" si="0"/>
        <v>151.5711</v>
      </c>
      <c r="J8" s="56">
        <f t="shared" si="5"/>
        <v>34.4754</v>
      </c>
      <c r="K8" s="45">
        <f t="shared" si="6"/>
        <v>134.33339999999998</v>
      </c>
      <c r="L8" s="16"/>
      <c r="M8" s="21"/>
      <c r="N8" s="22">
        <v>500</v>
      </c>
      <c r="O8" s="22">
        <v>720</v>
      </c>
      <c r="P8" s="22">
        <v>560</v>
      </c>
      <c r="Q8" s="14" t="s">
        <v>408</v>
      </c>
      <c r="R8" s="14" t="s">
        <v>409</v>
      </c>
      <c r="S8" s="14">
        <v>1</v>
      </c>
      <c r="T8" s="14">
        <v>715</v>
      </c>
      <c r="U8" s="14">
        <v>495</v>
      </c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5">
      <c r="A9" s="14" t="s">
        <v>9</v>
      </c>
      <c r="B9" s="15" t="s">
        <v>10</v>
      </c>
      <c r="C9" s="50">
        <v>38.5</v>
      </c>
      <c r="D9" s="16">
        <f t="shared" si="1"/>
        <v>102.795</v>
      </c>
      <c r="E9" s="16">
        <v>38.44</v>
      </c>
      <c r="F9" s="42">
        <f t="shared" si="2"/>
        <v>41.130800000000001</v>
      </c>
      <c r="G9" s="78">
        <f t="shared" si="3"/>
        <v>141.23500000000001</v>
      </c>
      <c r="H9" s="41">
        <f t="shared" si="4"/>
        <v>61.696200000000005</v>
      </c>
      <c r="I9" s="44">
        <f t="shared" si="0"/>
        <v>164.49119999999999</v>
      </c>
      <c r="J9" s="56">
        <f t="shared" si="5"/>
        <v>41.130800000000001</v>
      </c>
      <c r="K9" s="45">
        <f t="shared" si="6"/>
        <v>143.92580000000001</v>
      </c>
      <c r="L9" s="16"/>
      <c r="M9" s="21"/>
      <c r="N9" s="22">
        <v>600</v>
      </c>
      <c r="O9" s="22">
        <v>720</v>
      </c>
      <c r="P9" s="22">
        <v>560</v>
      </c>
      <c r="Q9" s="14" t="s">
        <v>408</v>
      </c>
      <c r="R9" s="14" t="s">
        <v>409</v>
      </c>
      <c r="S9" s="14">
        <v>1</v>
      </c>
      <c r="T9" s="14">
        <v>715</v>
      </c>
      <c r="U9" s="14">
        <v>595</v>
      </c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A10" s="14" t="s">
        <v>11</v>
      </c>
      <c r="B10" s="15" t="s">
        <v>12</v>
      </c>
      <c r="C10" s="50">
        <v>42.9</v>
      </c>
      <c r="D10" s="16">
        <f t="shared" si="1"/>
        <v>114.54299999999999</v>
      </c>
      <c r="E10" s="16">
        <v>58.22</v>
      </c>
      <c r="F10" s="42">
        <f t="shared" si="2"/>
        <v>62.295400000000001</v>
      </c>
      <c r="G10" s="78">
        <f t="shared" si="3"/>
        <v>172.76299999999998</v>
      </c>
      <c r="H10" s="41">
        <f t="shared" si="4"/>
        <v>93.443100000000001</v>
      </c>
      <c r="I10" s="44">
        <f t="shared" si="0"/>
        <v>207.98609999999999</v>
      </c>
      <c r="J10" s="51">
        <f t="shared" ref="J10:J13" si="7">PRODUCT(E10,$J$2)</f>
        <v>58.22</v>
      </c>
      <c r="K10" s="45">
        <f t="shared" si="6"/>
        <v>172.76299999999998</v>
      </c>
      <c r="L10" s="16"/>
      <c r="M10" s="21"/>
      <c r="N10" s="22">
        <v>800</v>
      </c>
      <c r="O10" s="22">
        <v>720</v>
      </c>
      <c r="P10" s="22">
        <v>560</v>
      </c>
      <c r="Q10" s="14" t="s">
        <v>408</v>
      </c>
      <c r="R10" s="14" t="s">
        <v>409</v>
      </c>
      <c r="S10" s="14">
        <v>2</v>
      </c>
      <c r="T10" s="14">
        <v>715</v>
      </c>
      <c r="U10" s="14">
        <v>395</v>
      </c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A11" s="14" t="s">
        <v>13</v>
      </c>
      <c r="B11" s="15" t="s">
        <v>14</v>
      </c>
      <c r="C11" s="50">
        <v>44</v>
      </c>
      <c r="D11" s="16">
        <f>PRODUCT(C11,$D$1)</f>
        <v>117.47999999999999</v>
      </c>
      <c r="E11" s="16">
        <v>62.64</v>
      </c>
      <c r="F11" s="42">
        <f t="shared" si="2"/>
        <v>67.024799999999999</v>
      </c>
      <c r="G11" s="78">
        <f t="shared" si="3"/>
        <v>180.12</v>
      </c>
      <c r="H11" s="41">
        <f t="shared" si="4"/>
        <v>100.5372</v>
      </c>
      <c r="I11" s="44">
        <f t="shared" si="0"/>
        <v>218.0172</v>
      </c>
      <c r="J11" s="51">
        <f t="shared" si="7"/>
        <v>62.64</v>
      </c>
      <c r="K11" s="45">
        <f t="shared" si="6"/>
        <v>180.12</v>
      </c>
      <c r="L11" s="16"/>
      <c r="M11" s="21"/>
      <c r="N11" s="22">
        <v>900</v>
      </c>
      <c r="O11" s="22">
        <v>720</v>
      </c>
      <c r="P11" s="22">
        <v>560</v>
      </c>
      <c r="Q11" s="14" t="s">
        <v>408</v>
      </c>
      <c r="R11" s="14" t="s">
        <v>409</v>
      </c>
      <c r="S11" s="14">
        <v>2</v>
      </c>
      <c r="T11" s="14">
        <v>715</v>
      </c>
      <c r="U11" s="14">
        <v>445</v>
      </c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A12" s="14" t="s">
        <v>15</v>
      </c>
      <c r="B12" s="15" t="s">
        <v>16</v>
      </c>
      <c r="C12" s="50">
        <v>45.1</v>
      </c>
      <c r="D12" s="16">
        <f t="shared" si="1"/>
        <v>120.417</v>
      </c>
      <c r="E12" s="16">
        <v>64.44</v>
      </c>
      <c r="F12" s="42">
        <f t="shared" si="2"/>
        <v>68.950800000000001</v>
      </c>
      <c r="G12" s="78">
        <f t="shared" si="3"/>
        <v>184.857</v>
      </c>
      <c r="H12" s="41">
        <f t="shared" si="4"/>
        <v>103.42619999999999</v>
      </c>
      <c r="I12" s="44">
        <f t="shared" si="0"/>
        <v>223.8432</v>
      </c>
      <c r="J12" s="51">
        <f t="shared" si="7"/>
        <v>64.44</v>
      </c>
      <c r="K12" s="45">
        <f t="shared" si="6"/>
        <v>184.857</v>
      </c>
      <c r="L12" s="16"/>
      <c r="M12" s="21"/>
      <c r="N12" s="22">
        <v>1000</v>
      </c>
      <c r="O12" s="22">
        <v>720</v>
      </c>
      <c r="P12" s="22">
        <v>560</v>
      </c>
      <c r="Q12" s="14" t="s">
        <v>408</v>
      </c>
      <c r="R12" s="14" t="s">
        <v>409</v>
      </c>
      <c r="S12" s="14">
        <v>2</v>
      </c>
      <c r="T12" s="14">
        <v>715</v>
      </c>
      <c r="U12" s="14">
        <v>495</v>
      </c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A13" s="14" t="s">
        <v>17</v>
      </c>
      <c r="B13" s="15" t="s">
        <v>18</v>
      </c>
      <c r="C13" s="50">
        <v>47.3</v>
      </c>
      <c r="D13" s="16">
        <f t="shared" si="1"/>
        <v>126.29099999999998</v>
      </c>
      <c r="E13" s="16">
        <v>76.88</v>
      </c>
      <c r="F13" s="42">
        <f t="shared" si="2"/>
        <v>82.261600000000001</v>
      </c>
      <c r="G13" s="78">
        <f t="shared" si="3"/>
        <v>203.17099999999999</v>
      </c>
      <c r="H13" s="41">
        <f t="shared" si="4"/>
        <v>123.39240000000001</v>
      </c>
      <c r="I13" s="44">
        <f t="shared" si="0"/>
        <v>249.68340000000001</v>
      </c>
      <c r="J13" s="51">
        <f t="shared" si="7"/>
        <v>76.88</v>
      </c>
      <c r="K13" s="45">
        <f t="shared" si="6"/>
        <v>203.17099999999999</v>
      </c>
      <c r="L13" s="16"/>
      <c r="M13" s="21"/>
      <c r="N13" s="22">
        <v>1200</v>
      </c>
      <c r="O13" s="22">
        <v>720</v>
      </c>
      <c r="P13" s="22">
        <v>560</v>
      </c>
      <c r="Q13" s="14" t="s">
        <v>408</v>
      </c>
      <c r="R13" s="14" t="s">
        <v>409</v>
      </c>
      <c r="S13" s="14">
        <v>2</v>
      </c>
      <c r="T13" s="14">
        <v>715</v>
      </c>
      <c r="U13" s="14">
        <v>595</v>
      </c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A14" s="14"/>
      <c r="B14" s="25" t="s">
        <v>19</v>
      </c>
      <c r="C14" s="50"/>
      <c r="D14" s="16"/>
      <c r="E14" s="16"/>
      <c r="F14" s="42"/>
      <c r="G14" s="27"/>
      <c r="H14" s="41"/>
      <c r="I14" s="44"/>
      <c r="J14" s="51"/>
      <c r="K14" s="45"/>
      <c r="L14" s="16"/>
      <c r="M14" s="21"/>
      <c r="N14" s="22"/>
      <c r="O14" s="22"/>
      <c r="P14" s="22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A15" s="14"/>
      <c r="B15" s="25" t="s">
        <v>20</v>
      </c>
      <c r="C15" s="50"/>
      <c r="D15" s="16"/>
      <c r="E15" s="16"/>
      <c r="F15" s="42"/>
      <c r="G15" s="27"/>
      <c r="H15" s="41"/>
      <c r="I15" s="44"/>
      <c r="J15" s="51"/>
      <c r="K15" s="45"/>
      <c r="L15" s="16"/>
      <c r="M15" s="21"/>
      <c r="N15" s="22"/>
      <c r="O15" s="22"/>
      <c r="P15" s="22"/>
      <c r="Q15" s="14"/>
      <c r="R15" s="14"/>
      <c r="S15" s="14">
        <v>1</v>
      </c>
      <c r="T15" s="14">
        <v>715</v>
      </c>
      <c r="U15" s="14">
        <v>595</v>
      </c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A16" s="14" t="s">
        <v>21</v>
      </c>
      <c r="B16" s="15" t="s">
        <v>22</v>
      </c>
      <c r="C16" s="50"/>
      <c r="D16" s="16"/>
      <c r="E16" s="16"/>
      <c r="F16" s="42"/>
      <c r="G16" s="27"/>
      <c r="H16" s="41"/>
      <c r="I16" s="44"/>
      <c r="J16" s="51"/>
      <c r="K16" s="45"/>
      <c r="L16" s="16"/>
      <c r="M16" s="21"/>
      <c r="N16" s="22"/>
      <c r="O16" s="22"/>
      <c r="P16" s="2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x14ac:dyDescent="0.25">
      <c r="A17" s="14"/>
      <c r="B17" s="15"/>
      <c r="C17" s="50"/>
      <c r="D17" s="16"/>
      <c r="E17" s="16"/>
      <c r="F17" s="42"/>
      <c r="G17" s="27"/>
      <c r="H17" s="41"/>
      <c r="I17" s="44"/>
      <c r="J17" s="51"/>
      <c r="K17" s="45"/>
      <c r="L17" s="16"/>
      <c r="M17" s="21"/>
      <c r="N17" s="22"/>
      <c r="O17" s="22"/>
      <c r="P17" s="22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x14ac:dyDescent="0.25">
      <c r="A18" s="14" t="s">
        <v>23</v>
      </c>
      <c r="B18" s="15" t="s">
        <v>24</v>
      </c>
      <c r="C18" s="50">
        <v>55.1</v>
      </c>
      <c r="D18" s="16">
        <f t="shared" ref="D18:D26" si="8">PRODUCT(C18,$D$1)</f>
        <v>147.11699999999999</v>
      </c>
      <c r="E18" s="16">
        <v>29.25</v>
      </c>
      <c r="F18" s="42">
        <f t="shared" si="2"/>
        <v>31.297500000000003</v>
      </c>
      <c r="G18" s="27">
        <f t="shared" ref="G18:G26" si="9">D18+E18</f>
        <v>176.36699999999999</v>
      </c>
      <c r="H18" s="41">
        <f t="shared" si="4"/>
        <v>46.946250000000006</v>
      </c>
      <c r="I18" s="44">
        <f t="shared" ref="I18:I26" si="10">D18+H18</f>
        <v>194.06324999999998</v>
      </c>
      <c r="J18" s="51"/>
      <c r="K18" s="45">
        <f t="shared" si="6"/>
        <v>147.11699999999999</v>
      </c>
      <c r="L18" s="16"/>
      <c r="M18" s="21"/>
      <c r="N18" s="22">
        <v>300</v>
      </c>
      <c r="O18" s="22">
        <v>720</v>
      </c>
      <c r="P18" s="22">
        <v>560</v>
      </c>
      <c r="Q18" s="14" t="s">
        <v>408</v>
      </c>
      <c r="R18" s="14" t="s">
        <v>410</v>
      </c>
      <c r="S18" s="14">
        <v>1</v>
      </c>
      <c r="T18" s="14">
        <v>570</v>
      </c>
      <c r="U18" s="14">
        <v>295</v>
      </c>
      <c r="V18" s="14">
        <v>1</v>
      </c>
      <c r="W18" s="14">
        <v>140</v>
      </c>
      <c r="X18" s="14">
        <v>295</v>
      </c>
      <c r="Y18" s="14"/>
      <c r="Z18" s="14"/>
      <c r="AA18" s="14"/>
      <c r="AB18" s="14"/>
      <c r="AC18" s="14"/>
      <c r="AD18" s="14"/>
    </row>
    <row r="19" spans="1:30" x14ac:dyDescent="0.25">
      <c r="A19" s="14" t="s">
        <v>25</v>
      </c>
      <c r="B19" s="15" t="s">
        <v>26</v>
      </c>
      <c r="C19" s="50">
        <v>56.2</v>
      </c>
      <c r="D19" s="16">
        <f t="shared" si="8"/>
        <v>150.054</v>
      </c>
      <c r="E19" s="16">
        <v>33.61</v>
      </c>
      <c r="F19" s="42">
        <f t="shared" si="2"/>
        <v>35.962699999999998</v>
      </c>
      <c r="G19" s="27">
        <f t="shared" si="9"/>
        <v>183.66399999999999</v>
      </c>
      <c r="H19" s="41">
        <f t="shared" si="4"/>
        <v>53.944049999999997</v>
      </c>
      <c r="I19" s="44">
        <f t="shared" si="10"/>
        <v>203.99805000000001</v>
      </c>
      <c r="J19" s="51"/>
      <c r="K19" s="45">
        <f t="shared" si="6"/>
        <v>150.054</v>
      </c>
      <c r="L19" s="16"/>
      <c r="M19" s="21"/>
      <c r="N19" s="22">
        <v>400</v>
      </c>
      <c r="O19" s="22">
        <v>720</v>
      </c>
      <c r="P19" s="22">
        <v>560</v>
      </c>
      <c r="Q19" s="14" t="s">
        <v>408</v>
      </c>
      <c r="R19" s="14" t="s">
        <v>410</v>
      </c>
      <c r="S19" s="14">
        <v>1</v>
      </c>
      <c r="T19" s="14">
        <v>570</v>
      </c>
      <c r="U19" s="14">
        <v>395</v>
      </c>
      <c r="V19" s="14">
        <v>1</v>
      </c>
      <c r="W19" s="14">
        <v>140</v>
      </c>
      <c r="X19" s="14">
        <v>395</v>
      </c>
      <c r="Y19" s="14"/>
      <c r="Z19" s="14"/>
      <c r="AA19" s="14"/>
      <c r="AB19" s="14"/>
      <c r="AC19" s="14"/>
      <c r="AD19" s="14"/>
    </row>
    <row r="20" spans="1:30" x14ac:dyDescent="0.25">
      <c r="A20" s="14" t="s">
        <v>27</v>
      </c>
      <c r="B20" s="15" t="s">
        <v>28</v>
      </c>
      <c r="C20" s="50">
        <v>57.3</v>
      </c>
      <c r="D20" s="16">
        <f t="shared" si="8"/>
        <v>152.99099999999999</v>
      </c>
      <c r="E20" s="16">
        <v>36.26</v>
      </c>
      <c r="F20" s="42">
        <f t="shared" si="2"/>
        <v>38.798200000000001</v>
      </c>
      <c r="G20" s="27">
        <f t="shared" si="9"/>
        <v>189.25099999999998</v>
      </c>
      <c r="H20" s="41">
        <f t="shared" si="4"/>
        <v>58.197299999999998</v>
      </c>
      <c r="I20" s="44">
        <f t="shared" si="10"/>
        <v>211.18829999999997</v>
      </c>
      <c r="J20" s="51"/>
      <c r="K20" s="45">
        <f t="shared" si="6"/>
        <v>152.99099999999999</v>
      </c>
      <c r="L20" s="16"/>
      <c r="M20" s="21"/>
      <c r="N20" s="22">
        <v>450</v>
      </c>
      <c r="O20" s="22">
        <v>720</v>
      </c>
      <c r="P20" s="22">
        <v>560</v>
      </c>
      <c r="Q20" s="14" t="s">
        <v>408</v>
      </c>
      <c r="R20" s="14" t="s">
        <v>410</v>
      </c>
      <c r="S20" s="14">
        <v>1</v>
      </c>
      <c r="T20" s="14">
        <v>570</v>
      </c>
      <c r="U20" s="14">
        <v>445</v>
      </c>
      <c r="V20" s="14">
        <v>1</v>
      </c>
      <c r="W20" s="14">
        <v>140</v>
      </c>
      <c r="X20" s="14">
        <v>445</v>
      </c>
      <c r="Y20" s="14"/>
      <c r="Z20" s="14"/>
      <c r="AA20" s="14"/>
      <c r="AB20" s="14"/>
      <c r="AC20" s="14"/>
      <c r="AD20" s="14"/>
    </row>
    <row r="21" spans="1:30" x14ac:dyDescent="0.25">
      <c r="A21" s="14" t="s">
        <v>29</v>
      </c>
      <c r="B21" s="15" t="s">
        <v>30</v>
      </c>
      <c r="C21" s="50">
        <v>58.4</v>
      </c>
      <c r="D21" s="16">
        <f t="shared" si="8"/>
        <v>155.928</v>
      </c>
      <c r="E21" s="16">
        <v>38.909999999999997</v>
      </c>
      <c r="F21" s="42">
        <f t="shared" si="2"/>
        <v>41.633699999999997</v>
      </c>
      <c r="G21" s="27">
        <f t="shared" si="9"/>
        <v>194.83799999999999</v>
      </c>
      <c r="H21" s="41">
        <f t="shared" si="4"/>
        <v>62.450549999999993</v>
      </c>
      <c r="I21" s="44">
        <f t="shared" si="10"/>
        <v>218.37854999999999</v>
      </c>
      <c r="J21" s="51"/>
      <c r="K21" s="45">
        <f t="shared" si="6"/>
        <v>155.928</v>
      </c>
      <c r="L21" s="16"/>
      <c r="M21" s="21"/>
      <c r="N21" s="22">
        <v>500</v>
      </c>
      <c r="O21" s="22">
        <v>720</v>
      </c>
      <c r="P21" s="22">
        <v>560</v>
      </c>
      <c r="Q21" s="14" t="s">
        <v>408</v>
      </c>
      <c r="R21" s="14" t="s">
        <v>410</v>
      </c>
      <c r="S21" s="14">
        <v>1</v>
      </c>
      <c r="T21" s="14">
        <v>570</v>
      </c>
      <c r="U21" s="14">
        <v>495</v>
      </c>
      <c r="V21" s="14">
        <v>1</v>
      </c>
      <c r="W21" s="14">
        <v>140</v>
      </c>
      <c r="X21" s="14">
        <v>495</v>
      </c>
      <c r="Y21" s="14"/>
      <c r="Z21" s="14"/>
      <c r="AA21" s="14"/>
      <c r="AB21" s="14"/>
      <c r="AC21" s="14"/>
      <c r="AD21" s="14"/>
    </row>
    <row r="22" spans="1:30" x14ac:dyDescent="0.25">
      <c r="A22" s="14" t="s">
        <v>31</v>
      </c>
      <c r="B22" s="15" t="s">
        <v>32</v>
      </c>
      <c r="C22" s="50">
        <v>59.5</v>
      </c>
      <c r="D22" s="16">
        <f t="shared" si="8"/>
        <v>158.86500000000001</v>
      </c>
      <c r="E22" s="16">
        <v>43.62</v>
      </c>
      <c r="F22" s="42">
        <f t="shared" si="2"/>
        <v>46.673400000000001</v>
      </c>
      <c r="G22" s="27">
        <f t="shared" si="9"/>
        <v>202.48500000000001</v>
      </c>
      <c r="H22" s="41">
        <f t="shared" si="4"/>
        <v>70.010099999999994</v>
      </c>
      <c r="I22" s="44">
        <f t="shared" si="10"/>
        <v>228.8751</v>
      </c>
      <c r="J22" s="51"/>
      <c r="K22" s="45">
        <f t="shared" si="6"/>
        <v>158.86500000000001</v>
      </c>
      <c r="L22" s="16"/>
      <c r="M22" s="21"/>
      <c r="N22" s="22">
        <v>600</v>
      </c>
      <c r="O22" s="22">
        <v>720</v>
      </c>
      <c r="P22" s="22">
        <v>560</v>
      </c>
      <c r="Q22" s="14" t="s">
        <v>408</v>
      </c>
      <c r="R22" s="14" t="s">
        <v>410</v>
      </c>
      <c r="S22" s="14">
        <v>1</v>
      </c>
      <c r="T22" s="14">
        <v>570</v>
      </c>
      <c r="U22" s="14">
        <v>595</v>
      </c>
      <c r="V22" s="14">
        <v>1</v>
      </c>
      <c r="W22" s="14">
        <v>140</v>
      </c>
      <c r="X22" s="14">
        <v>595</v>
      </c>
      <c r="Y22" s="14"/>
      <c r="Z22" s="14"/>
      <c r="AA22" s="14"/>
      <c r="AB22" s="14"/>
      <c r="AC22" s="14"/>
      <c r="AD22" s="14"/>
    </row>
    <row r="23" spans="1:30" x14ac:dyDescent="0.25">
      <c r="A23" s="14" t="s">
        <v>33</v>
      </c>
      <c r="B23" s="15" t="s">
        <v>34</v>
      </c>
      <c r="C23" s="50">
        <v>74.900000000000006</v>
      </c>
      <c r="D23" s="16">
        <f t="shared" si="8"/>
        <v>199.983</v>
      </c>
      <c r="E23" s="16">
        <v>67.22</v>
      </c>
      <c r="F23" s="42">
        <f t="shared" si="2"/>
        <v>71.925399999999996</v>
      </c>
      <c r="G23" s="27">
        <f t="shared" si="9"/>
        <v>267.20299999999997</v>
      </c>
      <c r="H23" s="41">
        <f t="shared" si="4"/>
        <v>107.88809999999999</v>
      </c>
      <c r="I23" s="44">
        <f t="shared" si="10"/>
        <v>307.87110000000001</v>
      </c>
      <c r="J23" s="51"/>
      <c r="K23" s="45">
        <f t="shared" si="6"/>
        <v>199.983</v>
      </c>
      <c r="L23" s="16"/>
      <c r="M23" s="21"/>
      <c r="N23" s="22">
        <v>800</v>
      </c>
      <c r="O23" s="22">
        <v>720</v>
      </c>
      <c r="P23" s="22">
        <v>560</v>
      </c>
      <c r="Q23" s="14" t="s">
        <v>408</v>
      </c>
      <c r="R23" s="14" t="s">
        <v>410</v>
      </c>
      <c r="S23" s="14">
        <v>2</v>
      </c>
      <c r="T23" s="14">
        <v>570</v>
      </c>
      <c r="U23" s="14">
        <v>395</v>
      </c>
      <c r="V23" s="14">
        <v>2</v>
      </c>
      <c r="W23" s="14">
        <v>140</v>
      </c>
      <c r="X23" s="14">
        <v>395</v>
      </c>
      <c r="Y23" s="14"/>
      <c r="Z23" s="14"/>
      <c r="AA23" s="14"/>
      <c r="AB23" s="14"/>
      <c r="AC23" s="14"/>
      <c r="AD23" s="14"/>
    </row>
    <row r="24" spans="1:30" x14ac:dyDescent="0.25">
      <c r="A24" s="14" t="s">
        <v>35</v>
      </c>
      <c r="B24" s="15" t="s">
        <v>36</v>
      </c>
      <c r="C24" s="50">
        <v>76</v>
      </c>
      <c r="D24" s="16">
        <f t="shared" si="8"/>
        <v>202.92</v>
      </c>
      <c r="E24" s="16">
        <v>72.52</v>
      </c>
      <c r="F24" s="42">
        <f t="shared" si="2"/>
        <v>77.596400000000003</v>
      </c>
      <c r="G24" s="27">
        <f t="shared" si="9"/>
        <v>275.44</v>
      </c>
      <c r="H24" s="41">
        <f t="shared" si="4"/>
        <v>116.3946</v>
      </c>
      <c r="I24" s="44">
        <f t="shared" si="10"/>
        <v>319.31459999999998</v>
      </c>
      <c r="J24" s="51">
        <f t="shared" ref="J24:J26" si="11">PRODUCT(E24,$J$2)</f>
        <v>72.52</v>
      </c>
      <c r="K24" s="45">
        <f t="shared" si="6"/>
        <v>275.44</v>
      </c>
      <c r="L24" s="16"/>
      <c r="M24" s="21"/>
      <c r="N24" s="22">
        <v>900</v>
      </c>
      <c r="O24" s="22">
        <v>720</v>
      </c>
      <c r="P24" s="22">
        <v>560</v>
      </c>
      <c r="Q24" s="14" t="s">
        <v>408</v>
      </c>
      <c r="R24" s="14" t="s">
        <v>410</v>
      </c>
      <c r="S24" s="14">
        <v>2</v>
      </c>
      <c r="T24" s="14">
        <v>570</v>
      </c>
      <c r="U24" s="14">
        <v>445</v>
      </c>
      <c r="V24" s="14">
        <v>2</v>
      </c>
      <c r="W24" s="14">
        <v>140</v>
      </c>
      <c r="X24" s="14">
        <v>445</v>
      </c>
      <c r="Y24" s="14"/>
      <c r="Z24" s="14"/>
      <c r="AA24" s="14"/>
      <c r="AB24" s="14"/>
      <c r="AC24" s="14"/>
      <c r="AD24" s="14"/>
    </row>
    <row r="25" spans="1:30" x14ac:dyDescent="0.25">
      <c r="A25" s="14" t="s">
        <v>37</v>
      </c>
      <c r="B25" s="15" t="s">
        <v>38</v>
      </c>
      <c r="C25" s="50">
        <v>77.099999999999994</v>
      </c>
      <c r="D25" s="16">
        <f t="shared" si="8"/>
        <v>205.85699999999997</v>
      </c>
      <c r="E25" s="16">
        <v>77.819999999999993</v>
      </c>
      <c r="F25" s="42">
        <f t="shared" si="2"/>
        <v>83.267399999999995</v>
      </c>
      <c r="G25" s="27">
        <f t="shared" si="9"/>
        <v>283.67699999999996</v>
      </c>
      <c r="H25" s="41">
        <f t="shared" si="4"/>
        <v>124.90109999999999</v>
      </c>
      <c r="I25" s="44">
        <f t="shared" si="10"/>
        <v>330.75809999999996</v>
      </c>
      <c r="J25" s="51">
        <f t="shared" si="11"/>
        <v>77.819999999999993</v>
      </c>
      <c r="K25" s="45">
        <f t="shared" si="6"/>
        <v>283.67699999999996</v>
      </c>
      <c r="L25" s="16"/>
      <c r="M25" s="21"/>
      <c r="N25" s="22">
        <v>1000</v>
      </c>
      <c r="O25" s="22">
        <v>720</v>
      </c>
      <c r="P25" s="22">
        <v>560</v>
      </c>
      <c r="Q25" s="14" t="s">
        <v>408</v>
      </c>
      <c r="R25" s="14" t="s">
        <v>410</v>
      </c>
      <c r="S25" s="14">
        <v>2</v>
      </c>
      <c r="T25" s="14">
        <v>570</v>
      </c>
      <c r="U25" s="14">
        <v>495</v>
      </c>
      <c r="V25" s="14">
        <v>2</v>
      </c>
      <c r="W25" s="14">
        <v>140</v>
      </c>
      <c r="X25" s="14">
        <v>495</v>
      </c>
      <c r="Y25" s="14"/>
      <c r="Z25" s="14"/>
      <c r="AA25" s="14"/>
      <c r="AB25" s="14"/>
      <c r="AC25" s="14"/>
      <c r="AD25" s="14"/>
    </row>
    <row r="26" spans="1:30" x14ac:dyDescent="0.25">
      <c r="A26" s="14" t="s">
        <v>39</v>
      </c>
      <c r="B26" s="15" t="s">
        <v>40</v>
      </c>
      <c r="C26" s="50">
        <v>79.3</v>
      </c>
      <c r="D26" s="16">
        <f t="shared" si="8"/>
        <v>211.73099999999999</v>
      </c>
      <c r="E26" s="16">
        <v>87.24</v>
      </c>
      <c r="F26" s="42">
        <f t="shared" si="2"/>
        <v>93.346800000000002</v>
      </c>
      <c r="G26" s="27">
        <f t="shared" si="9"/>
        <v>298.971</v>
      </c>
      <c r="H26" s="41">
        <f t="shared" si="4"/>
        <v>140.02019999999999</v>
      </c>
      <c r="I26" s="44">
        <f t="shared" si="10"/>
        <v>351.75119999999998</v>
      </c>
      <c r="J26" s="51">
        <f t="shared" si="11"/>
        <v>87.24</v>
      </c>
      <c r="K26" s="45">
        <f t="shared" si="6"/>
        <v>298.971</v>
      </c>
      <c r="L26" s="16"/>
      <c r="M26" s="21"/>
      <c r="N26" s="22">
        <v>1200</v>
      </c>
      <c r="O26" s="22">
        <v>720</v>
      </c>
      <c r="P26" s="22">
        <v>560</v>
      </c>
      <c r="Q26" s="14" t="s">
        <v>408</v>
      </c>
      <c r="R26" s="14" t="s">
        <v>410</v>
      </c>
      <c r="S26" s="14">
        <v>2</v>
      </c>
      <c r="T26" s="14">
        <v>570</v>
      </c>
      <c r="U26" s="14">
        <v>595</v>
      </c>
      <c r="V26" s="14">
        <v>2</v>
      </c>
      <c r="W26" s="14">
        <v>140</v>
      </c>
      <c r="X26" s="14">
        <v>595</v>
      </c>
      <c r="Y26" s="14"/>
      <c r="Z26" s="14"/>
      <c r="AA26" s="14"/>
      <c r="AB26" s="14"/>
      <c r="AC26" s="14"/>
      <c r="AD26" s="14"/>
    </row>
    <row r="27" spans="1:30" x14ac:dyDescent="0.25">
      <c r="A27" s="14"/>
      <c r="B27" s="25" t="s">
        <v>19</v>
      </c>
      <c r="C27" s="50"/>
      <c r="D27" s="16"/>
      <c r="E27" s="16"/>
      <c r="F27" s="42"/>
      <c r="G27" s="27"/>
      <c r="H27" s="41"/>
      <c r="I27" s="44"/>
      <c r="J27" s="51"/>
      <c r="K27" s="45"/>
      <c r="L27" s="16"/>
      <c r="M27" s="21"/>
      <c r="N27" s="22"/>
      <c r="O27" s="22"/>
      <c r="P27" s="22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x14ac:dyDescent="0.25">
      <c r="A28" s="14"/>
      <c r="B28" s="25" t="s">
        <v>584</v>
      </c>
      <c r="C28" s="50"/>
      <c r="D28" s="16"/>
      <c r="E28" s="16"/>
      <c r="F28" s="42"/>
      <c r="G28" s="27"/>
      <c r="H28" s="41"/>
      <c r="I28" s="44"/>
      <c r="J28" s="51"/>
      <c r="K28" s="45"/>
      <c r="L28" s="16"/>
      <c r="M28" s="21"/>
      <c r="N28" s="22"/>
      <c r="O28" s="22"/>
      <c r="P28" s="22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x14ac:dyDescent="0.25">
      <c r="A29" s="14"/>
      <c r="B29" s="25" t="s">
        <v>41</v>
      </c>
      <c r="C29" s="50"/>
      <c r="D29" s="16"/>
      <c r="E29" s="16"/>
      <c r="F29" s="42"/>
      <c r="G29" s="27"/>
      <c r="H29" s="41"/>
      <c r="I29" s="44"/>
      <c r="J29" s="51"/>
      <c r="K29" s="45"/>
      <c r="L29" s="16"/>
      <c r="M29" s="21"/>
      <c r="N29" s="22"/>
      <c r="O29" s="22"/>
      <c r="P29" s="22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x14ac:dyDescent="0.25">
      <c r="A30" s="14"/>
      <c r="B30" s="25" t="s">
        <v>42</v>
      </c>
      <c r="C30" s="50"/>
      <c r="D30" s="16"/>
      <c r="E30" s="16"/>
      <c r="F30" s="42"/>
      <c r="G30" s="27"/>
      <c r="H30" s="41"/>
      <c r="I30" s="44"/>
      <c r="J30" s="51"/>
      <c r="K30" s="45"/>
      <c r="L30" s="16"/>
      <c r="M30" s="21"/>
      <c r="N30" s="22"/>
      <c r="O30" s="22"/>
      <c r="P30" s="22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x14ac:dyDescent="0.25">
      <c r="A31" s="14"/>
      <c r="B31" s="15"/>
      <c r="C31" s="50"/>
      <c r="D31" s="16"/>
      <c r="E31" s="16"/>
      <c r="F31" s="42"/>
      <c r="G31" s="27"/>
      <c r="H31" s="41"/>
      <c r="I31" s="44"/>
      <c r="J31" s="51"/>
      <c r="K31" s="45"/>
      <c r="L31" s="16"/>
      <c r="M31" s="21"/>
      <c r="N31" s="22"/>
      <c r="O31" s="22"/>
      <c r="P31" s="22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x14ac:dyDescent="0.25">
      <c r="A32" s="14"/>
      <c r="B32" s="15"/>
      <c r="C32" s="50"/>
      <c r="D32" s="16"/>
      <c r="E32" s="16"/>
      <c r="F32" s="42"/>
      <c r="G32" s="27"/>
      <c r="H32" s="41"/>
      <c r="I32" s="44"/>
      <c r="J32" s="51"/>
      <c r="K32" s="45"/>
      <c r="L32" s="16"/>
      <c r="M32" s="21"/>
      <c r="N32" s="22"/>
      <c r="O32" s="22"/>
      <c r="P32" s="22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x14ac:dyDescent="0.25">
      <c r="A33" s="14" t="s">
        <v>43</v>
      </c>
      <c r="B33" s="32" t="s">
        <v>586</v>
      </c>
      <c r="C33" s="50">
        <v>48.4</v>
      </c>
      <c r="D33" s="16">
        <f t="shared" ref="D33:D39" si="12">PRODUCT(C33,$D$1)</f>
        <v>129.22799999999998</v>
      </c>
      <c r="E33" s="16">
        <v>29.11</v>
      </c>
      <c r="F33" s="42">
        <f t="shared" si="2"/>
        <v>31.1477</v>
      </c>
      <c r="G33" s="27">
        <f t="shared" ref="G33:G39" si="13">D33+E33</f>
        <v>158.33799999999997</v>
      </c>
      <c r="H33" s="41">
        <f t="shared" si="4"/>
        <v>46.721550000000001</v>
      </c>
      <c r="I33" s="44">
        <f t="shared" ref="I33:I39" si="14">D33+H33</f>
        <v>175.94954999999999</v>
      </c>
      <c r="J33" s="51">
        <f t="shared" ref="J33:J35" si="15">PRODUCT(E33,$J$2)</f>
        <v>29.11</v>
      </c>
      <c r="K33" s="45">
        <f t="shared" si="6"/>
        <v>158.33799999999997</v>
      </c>
      <c r="L33" s="16"/>
      <c r="M33" s="21"/>
      <c r="N33" s="22">
        <v>900</v>
      </c>
      <c r="O33" s="22">
        <v>720</v>
      </c>
      <c r="P33" s="22">
        <v>560</v>
      </c>
      <c r="Q33" s="14" t="s">
        <v>408</v>
      </c>
      <c r="R33" s="14" t="s">
        <v>423</v>
      </c>
      <c r="S33" s="14">
        <v>1</v>
      </c>
      <c r="T33" s="14">
        <v>715</v>
      </c>
      <c r="U33" s="14">
        <v>345</v>
      </c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x14ac:dyDescent="0.25">
      <c r="A34" s="14" t="s">
        <v>44</v>
      </c>
      <c r="B34" s="32" t="s">
        <v>585</v>
      </c>
      <c r="C34" s="50">
        <v>49.5</v>
      </c>
      <c r="D34" s="16">
        <f t="shared" si="12"/>
        <v>132.16499999999999</v>
      </c>
      <c r="E34" s="16">
        <v>31.32</v>
      </c>
      <c r="F34" s="42">
        <f t="shared" si="2"/>
        <v>33.5124</v>
      </c>
      <c r="G34" s="27">
        <f t="shared" si="13"/>
        <v>163.48499999999999</v>
      </c>
      <c r="H34" s="41">
        <f t="shared" si="4"/>
        <v>50.268599999999999</v>
      </c>
      <c r="I34" s="44">
        <f t="shared" si="14"/>
        <v>182.43359999999998</v>
      </c>
      <c r="J34" s="51">
        <f t="shared" si="15"/>
        <v>31.32</v>
      </c>
      <c r="K34" s="45">
        <f t="shared" si="6"/>
        <v>163.48499999999999</v>
      </c>
      <c r="L34" s="16"/>
      <c r="M34" s="21"/>
      <c r="N34" s="22">
        <v>950</v>
      </c>
      <c r="O34" s="22">
        <v>720</v>
      </c>
      <c r="P34" s="22">
        <v>560</v>
      </c>
      <c r="Q34" s="14" t="s">
        <v>408</v>
      </c>
      <c r="R34" s="14" t="s">
        <v>423</v>
      </c>
      <c r="S34" s="14">
        <v>1</v>
      </c>
      <c r="T34" s="14">
        <v>715</v>
      </c>
      <c r="U34" s="14">
        <v>395</v>
      </c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x14ac:dyDescent="0.25">
      <c r="A35" s="14" t="s">
        <v>45</v>
      </c>
      <c r="B35" s="32" t="s">
        <v>587</v>
      </c>
      <c r="C35" s="50">
        <v>50.6</v>
      </c>
      <c r="D35" s="16">
        <f t="shared" si="12"/>
        <v>135.102</v>
      </c>
      <c r="E35" s="16">
        <v>32.22</v>
      </c>
      <c r="F35" s="42">
        <f t="shared" si="2"/>
        <v>34.4754</v>
      </c>
      <c r="G35" s="27">
        <f t="shared" si="13"/>
        <v>167.322</v>
      </c>
      <c r="H35" s="41">
        <f t="shared" si="4"/>
        <v>51.713099999999997</v>
      </c>
      <c r="I35" s="44">
        <f t="shared" si="14"/>
        <v>186.8151</v>
      </c>
      <c r="J35" s="51">
        <f t="shared" si="15"/>
        <v>32.22</v>
      </c>
      <c r="K35" s="45">
        <f t="shared" si="6"/>
        <v>167.322</v>
      </c>
      <c r="L35" s="16"/>
      <c r="M35" s="21"/>
      <c r="N35" s="22">
        <v>1000</v>
      </c>
      <c r="O35" s="22">
        <v>720</v>
      </c>
      <c r="P35" s="22">
        <v>560</v>
      </c>
      <c r="Q35" s="14" t="s">
        <v>408</v>
      </c>
      <c r="R35" s="14" t="s">
        <v>423</v>
      </c>
      <c r="S35" s="14">
        <v>1</v>
      </c>
      <c r="T35" s="14">
        <v>715</v>
      </c>
      <c r="U35" s="14">
        <v>445</v>
      </c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x14ac:dyDescent="0.25">
      <c r="A36" s="14" t="s">
        <v>46</v>
      </c>
      <c r="B36" s="32" t="s">
        <v>588</v>
      </c>
      <c r="C36" s="50">
        <v>51.7</v>
      </c>
      <c r="D36" s="16">
        <f t="shared" si="12"/>
        <v>138.03900000000002</v>
      </c>
      <c r="E36" s="16">
        <v>38.44</v>
      </c>
      <c r="F36" s="42">
        <f t="shared" si="2"/>
        <v>41.130800000000001</v>
      </c>
      <c r="G36" s="27">
        <f t="shared" si="13"/>
        <v>176.47900000000001</v>
      </c>
      <c r="H36" s="41">
        <f t="shared" si="4"/>
        <v>61.696200000000005</v>
      </c>
      <c r="I36" s="44">
        <f t="shared" si="14"/>
        <v>199.73520000000002</v>
      </c>
      <c r="J36" s="51"/>
      <c r="K36" s="45">
        <f t="shared" si="6"/>
        <v>138.03900000000002</v>
      </c>
      <c r="L36" s="16"/>
      <c r="M36" s="21"/>
      <c r="N36" s="22">
        <v>1100</v>
      </c>
      <c r="O36" s="22">
        <v>720</v>
      </c>
      <c r="P36" s="22">
        <v>560</v>
      </c>
      <c r="Q36" s="14" t="s">
        <v>408</v>
      </c>
      <c r="R36" s="14" t="s">
        <v>423</v>
      </c>
      <c r="S36" s="14">
        <v>1</v>
      </c>
      <c r="T36" s="14">
        <v>715</v>
      </c>
      <c r="U36" s="14">
        <v>495</v>
      </c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x14ac:dyDescent="0.25">
      <c r="A37" s="14"/>
      <c r="B37" s="32" t="s">
        <v>589</v>
      </c>
      <c r="C37" s="50">
        <v>52.8</v>
      </c>
      <c r="D37" s="16">
        <f t="shared" si="12"/>
        <v>140.976</v>
      </c>
      <c r="E37" s="16">
        <v>38.44</v>
      </c>
      <c r="F37" s="42">
        <f t="shared" si="2"/>
        <v>41.130800000000001</v>
      </c>
      <c r="G37" s="27">
        <f t="shared" si="13"/>
        <v>179.416</v>
      </c>
      <c r="H37" s="41">
        <f t="shared" si="4"/>
        <v>61.696200000000005</v>
      </c>
      <c r="I37" s="44">
        <f t="shared" si="14"/>
        <v>202.6722</v>
      </c>
      <c r="J37" s="51">
        <f t="shared" ref="J37:J39" si="16">PRODUCT(E37,$J$2)</f>
        <v>38.44</v>
      </c>
      <c r="K37" s="45">
        <f t="shared" si="6"/>
        <v>179.416</v>
      </c>
      <c r="L37" s="16"/>
      <c r="M37" s="21"/>
      <c r="N37" s="22"/>
      <c r="O37" s="22"/>
      <c r="P37" s="22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x14ac:dyDescent="0.25">
      <c r="A38" s="14" t="s">
        <v>465</v>
      </c>
      <c r="B38" s="32" t="s">
        <v>473</v>
      </c>
      <c r="C38" s="50">
        <v>50.6</v>
      </c>
      <c r="D38" s="16">
        <f t="shared" si="12"/>
        <v>135.102</v>
      </c>
      <c r="E38" s="16">
        <v>32.22</v>
      </c>
      <c r="F38" s="42">
        <f t="shared" si="2"/>
        <v>34.4754</v>
      </c>
      <c r="G38" s="27">
        <f t="shared" si="13"/>
        <v>167.322</v>
      </c>
      <c r="H38" s="41">
        <f t="shared" si="4"/>
        <v>51.713099999999997</v>
      </c>
      <c r="I38" s="44">
        <f t="shared" si="14"/>
        <v>186.8151</v>
      </c>
      <c r="J38" s="51">
        <f t="shared" si="16"/>
        <v>32.22</v>
      </c>
      <c r="K38" s="45">
        <f t="shared" si="6"/>
        <v>167.322</v>
      </c>
      <c r="L38" s="16"/>
      <c r="M38" s="21"/>
      <c r="N38" s="22">
        <v>1000</v>
      </c>
      <c r="O38" s="22">
        <v>720</v>
      </c>
      <c r="P38" s="22">
        <v>560</v>
      </c>
      <c r="Q38" s="14" t="s">
        <v>408</v>
      </c>
      <c r="R38" s="14" t="s">
        <v>423</v>
      </c>
      <c r="S38" s="14">
        <v>1</v>
      </c>
      <c r="T38" s="14">
        <v>715</v>
      </c>
      <c r="U38" s="14">
        <v>445</v>
      </c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x14ac:dyDescent="0.25">
      <c r="A39" s="14" t="s">
        <v>466</v>
      </c>
      <c r="B39" s="32" t="s">
        <v>474</v>
      </c>
      <c r="C39" s="50">
        <v>51.7</v>
      </c>
      <c r="D39" s="16">
        <f t="shared" si="12"/>
        <v>138.03900000000002</v>
      </c>
      <c r="E39" s="16">
        <v>38.44</v>
      </c>
      <c r="F39" s="42">
        <f t="shared" si="2"/>
        <v>41.130800000000001</v>
      </c>
      <c r="G39" s="27">
        <f t="shared" si="13"/>
        <v>176.47900000000001</v>
      </c>
      <c r="H39" s="41">
        <f t="shared" si="4"/>
        <v>61.696200000000005</v>
      </c>
      <c r="I39" s="44">
        <f t="shared" si="14"/>
        <v>199.73520000000002</v>
      </c>
      <c r="J39" s="51">
        <f t="shared" si="16"/>
        <v>38.44</v>
      </c>
      <c r="K39" s="45">
        <f t="shared" si="6"/>
        <v>176.47900000000001</v>
      </c>
      <c r="L39" s="16"/>
      <c r="M39" s="21"/>
      <c r="N39" s="22">
        <v>1100</v>
      </c>
      <c r="O39" s="22">
        <v>720</v>
      </c>
      <c r="P39" s="22">
        <v>560</v>
      </c>
      <c r="Q39" s="14" t="s">
        <v>408</v>
      </c>
      <c r="R39" s="14" t="s">
        <v>423</v>
      </c>
      <c r="S39" s="14">
        <v>1</v>
      </c>
      <c r="T39" s="14">
        <v>715</v>
      </c>
      <c r="U39" s="14">
        <v>495</v>
      </c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x14ac:dyDescent="0.25">
      <c r="A40" s="14"/>
      <c r="B40" s="25" t="s">
        <v>19</v>
      </c>
      <c r="C40" s="50"/>
      <c r="D40" s="16"/>
      <c r="E40" s="16"/>
      <c r="F40" s="42"/>
      <c r="G40" s="27"/>
      <c r="H40" s="41"/>
      <c r="I40" s="44"/>
      <c r="J40" s="51"/>
      <c r="K40" s="45"/>
      <c r="L40" s="16"/>
      <c r="M40" s="21"/>
      <c r="N40" s="22"/>
      <c r="O40" s="22"/>
      <c r="P40" s="22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x14ac:dyDescent="0.25">
      <c r="A41" s="14"/>
      <c r="B41" s="25" t="s">
        <v>20</v>
      </c>
      <c r="C41" s="50"/>
      <c r="D41" s="16"/>
      <c r="E41" s="16"/>
      <c r="F41" s="42"/>
      <c r="G41" s="27"/>
      <c r="H41" s="41"/>
      <c r="I41" s="44"/>
      <c r="J41" s="51"/>
      <c r="K41" s="45"/>
      <c r="L41" s="16"/>
      <c r="M41" s="21"/>
      <c r="N41" s="22"/>
      <c r="O41" s="22"/>
      <c r="P41" s="22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1:30" x14ac:dyDescent="0.25">
      <c r="A42" s="14"/>
      <c r="B42" s="15"/>
      <c r="C42" s="50"/>
      <c r="D42" s="16"/>
      <c r="E42" s="16"/>
      <c r="F42" s="42"/>
      <c r="G42" s="27"/>
      <c r="H42" s="41"/>
      <c r="I42" s="44"/>
      <c r="J42" s="51"/>
      <c r="K42" s="45"/>
      <c r="L42" s="16"/>
      <c r="M42" s="21"/>
      <c r="N42" s="22"/>
      <c r="O42" s="22"/>
      <c r="P42" s="22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x14ac:dyDescent="0.25">
      <c r="A43" s="14"/>
      <c r="B43" s="15"/>
      <c r="C43" s="50"/>
      <c r="D43" s="16"/>
      <c r="E43" s="16"/>
      <c r="F43" s="42"/>
      <c r="G43" s="27"/>
      <c r="H43" s="41"/>
      <c r="I43" s="44"/>
      <c r="J43" s="51"/>
      <c r="K43" s="45"/>
      <c r="L43" s="16"/>
      <c r="M43" s="21"/>
      <c r="N43" s="22"/>
      <c r="O43" s="22"/>
      <c r="P43" s="22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x14ac:dyDescent="0.25">
      <c r="A44" s="14" t="s">
        <v>47</v>
      </c>
      <c r="B44" s="15" t="s">
        <v>590</v>
      </c>
      <c r="C44" s="50">
        <v>80.3</v>
      </c>
      <c r="D44" s="16">
        <f>PRODUCT(C44,$D$1)</f>
        <v>214.40099999999998</v>
      </c>
      <c r="E44" s="16">
        <v>54.04</v>
      </c>
      <c r="F44" s="42">
        <f t="shared" si="2"/>
        <v>57.822800000000001</v>
      </c>
      <c r="G44" s="27">
        <f>D44+E44</f>
        <v>268.44099999999997</v>
      </c>
      <c r="H44" s="41">
        <f t="shared" si="4"/>
        <v>86.734200000000001</v>
      </c>
      <c r="I44" s="44">
        <f>D44+H44</f>
        <v>301.1352</v>
      </c>
      <c r="J44" s="51">
        <f t="shared" ref="J44:J46" si="17">PRODUCT(E44,$J$2)</f>
        <v>54.04</v>
      </c>
      <c r="K44" s="45">
        <f t="shared" si="6"/>
        <v>268.44099999999997</v>
      </c>
      <c r="L44" s="16"/>
      <c r="M44" s="21"/>
      <c r="N44" s="22">
        <v>900</v>
      </c>
      <c r="O44" s="22">
        <v>720</v>
      </c>
      <c r="P44" s="22">
        <v>900</v>
      </c>
      <c r="Q44" s="14" t="s">
        <v>408</v>
      </c>
      <c r="R44" s="14" t="s">
        <v>424</v>
      </c>
      <c r="S44" s="14">
        <v>1</v>
      </c>
      <c r="T44" s="14">
        <v>715</v>
      </c>
      <c r="U44" s="14">
        <v>335</v>
      </c>
      <c r="V44" s="14">
        <v>1</v>
      </c>
      <c r="W44" s="14">
        <v>715</v>
      </c>
      <c r="X44" s="14">
        <v>315</v>
      </c>
      <c r="Y44" s="14"/>
      <c r="Z44" s="14"/>
      <c r="AA44" s="14"/>
      <c r="AB44" s="14"/>
      <c r="AC44" s="14"/>
      <c r="AD44" s="14"/>
    </row>
    <row r="45" spans="1:30" x14ac:dyDescent="0.25">
      <c r="A45" s="14" t="s">
        <v>475</v>
      </c>
      <c r="B45" s="15" t="s">
        <v>592</v>
      </c>
      <c r="C45" s="50">
        <v>80.3</v>
      </c>
      <c r="D45" s="16">
        <f t="shared" ref="D45:D46" si="18">PRODUCT(C45,$D$1)</f>
        <v>214.40099999999998</v>
      </c>
      <c r="E45" s="16">
        <v>54.04</v>
      </c>
      <c r="F45" s="42">
        <f t="shared" si="2"/>
        <v>57.822800000000001</v>
      </c>
      <c r="G45" s="27">
        <f>D45+E45</f>
        <v>268.44099999999997</v>
      </c>
      <c r="H45" s="41">
        <f t="shared" si="4"/>
        <v>86.734200000000001</v>
      </c>
      <c r="I45" s="44">
        <f>D45+H45</f>
        <v>301.1352</v>
      </c>
      <c r="J45" s="51">
        <f t="shared" si="17"/>
        <v>54.04</v>
      </c>
      <c r="K45" s="45">
        <f t="shared" si="6"/>
        <v>268.44099999999997</v>
      </c>
      <c r="L45" s="16"/>
      <c r="M45" s="21"/>
      <c r="N45" s="22">
        <v>900</v>
      </c>
      <c r="O45" s="22">
        <v>720</v>
      </c>
      <c r="P45" s="22">
        <v>900</v>
      </c>
      <c r="Q45" s="14" t="s">
        <v>408</v>
      </c>
      <c r="R45" s="14" t="s">
        <v>424</v>
      </c>
      <c r="S45" s="14">
        <v>1</v>
      </c>
      <c r="T45" s="14">
        <v>715</v>
      </c>
      <c r="U45" s="14">
        <v>335</v>
      </c>
      <c r="V45" s="14">
        <v>1</v>
      </c>
      <c r="W45" s="14">
        <v>715</v>
      </c>
      <c r="X45" s="14">
        <v>315</v>
      </c>
      <c r="Y45" s="14"/>
      <c r="Z45" s="14"/>
      <c r="AA45" s="14"/>
      <c r="AB45" s="14"/>
      <c r="AC45" s="14"/>
      <c r="AD45" s="14"/>
    </row>
    <row r="46" spans="1:30" x14ac:dyDescent="0.25">
      <c r="A46" s="14" t="s">
        <v>48</v>
      </c>
      <c r="B46" s="15" t="s">
        <v>591</v>
      </c>
      <c r="C46" s="50">
        <v>83.6</v>
      </c>
      <c r="D46" s="16">
        <f t="shared" si="18"/>
        <v>223.21199999999999</v>
      </c>
      <c r="E46" s="16">
        <v>32.22</v>
      </c>
      <c r="F46" s="42">
        <f t="shared" si="2"/>
        <v>34.4754</v>
      </c>
      <c r="G46" s="27">
        <f>D46+E46</f>
        <v>255.43199999999999</v>
      </c>
      <c r="H46" s="41">
        <f t="shared" si="4"/>
        <v>51.713099999999997</v>
      </c>
      <c r="I46" s="44">
        <f>D46+H46</f>
        <v>274.92509999999999</v>
      </c>
      <c r="J46" s="51">
        <f t="shared" si="17"/>
        <v>32.22</v>
      </c>
      <c r="K46" s="45">
        <f t="shared" si="6"/>
        <v>255.43199999999999</v>
      </c>
      <c r="L46" s="16"/>
      <c r="M46" s="21"/>
      <c r="N46" s="22">
        <v>900</v>
      </c>
      <c r="O46" s="22">
        <v>720</v>
      </c>
      <c r="P46" s="22">
        <v>900</v>
      </c>
      <c r="Q46" s="14" t="s">
        <v>408</v>
      </c>
      <c r="R46" s="14" t="s">
        <v>424</v>
      </c>
      <c r="S46" s="14">
        <v>1</v>
      </c>
      <c r="T46" s="14">
        <v>715</v>
      </c>
      <c r="U46" s="14">
        <v>445</v>
      </c>
      <c r="V46" s="14"/>
      <c r="W46" s="14"/>
      <c r="X46" s="14"/>
      <c r="Y46" s="14"/>
      <c r="Z46" s="14"/>
      <c r="AA46" s="14"/>
      <c r="AB46" s="14"/>
      <c r="AC46" s="14"/>
      <c r="AD46" s="14"/>
    </row>
    <row r="47" spans="1:30" x14ac:dyDescent="0.25">
      <c r="A47" s="14"/>
      <c r="B47" s="25" t="s">
        <v>19</v>
      </c>
      <c r="C47" s="50"/>
      <c r="D47" s="16"/>
      <c r="E47" s="16"/>
      <c r="F47" s="42"/>
      <c r="G47" s="27"/>
      <c r="H47" s="41"/>
      <c r="I47" s="44"/>
      <c r="J47" s="51"/>
      <c r="K47" s="45"/>
      <c r="L47" s="16"/>
      <c r="M47" s="21"/>
      <c r="N47" s="22"/>
      <c r="O47" s="22"/>
      <c r="P47" s="22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 x14ac:dyDescent="0.25">
      <c r="A48" s="14" t="s">
        <v>49</v>
      </c>
      <c r="B48" s="15" t="s">
        <v>50</v>
      </c>
      <c r="C48" s="50">
        <v>40.700000000000003</v>
      </c>
      <c r="D48" s="16">
        <f t="shared" ref="D48:D49" si="19">PRODUCT(C48,$D$1)</f>
        <v>108.66900000000001</v>
      </c>
      <c r="E48" s="16">
        <v>24.45</v>
      </c>
      <c r="F48" s="42">
        <f t="shared" si="2"/>
        <v>26.1615</v>
      </c>
      <c r="G48" s="27">
        <f>D48+E48</f>
        <v>133.119</v>
      </c>
      <c r="H48" s="41">
        <f t="shared" si="4"/>
        <v>39.242249999999999</v>
      </c>
      <c r="I48" s="44">
        <f>D48+H48</f>
        <v>147.91125</v>
      </c>
      <c r="J48" s="51"/>
      <c r="K48" s="45">
        <f t="shared" si="6"/>
        <v>108.66900000000001</v>
      </c>
      <c r="L48" s="16"/>
      <c r="M48" s="21"/>
      <c r="N48" s="22">
        <v>275</v>
      </c>
      <c r="O48" s="22">
        <v>720</v>
      </c>
      <c r="P48" s="22">
        <v>560</v>
      </c>
      <c r="Q48" s="14" t="s">
        <v>408</v>
      </c>
      <c r="R48" s="14" t="s">
        <v>424</v>
      </c>
      <c r="S48" s="14">
        <v>1</v>
      </c>
      <c r="T48" s="14">
        <v>715</v>
      </c>
      <c r="U48" s="14">
        <v>295</v>
      </c>
      <c r="V48" s="14"/>
      <c r="W48" s="14"/>
      <c r="X48" s="14"/>
      <c r="Y48" s="14"/>
      <c r="Z48" s="14"/>
      <c r="AA48" s="14"/>
      <c r="AB48" s="14"/>
      <c r="AC48" s="14"/>
      <c r="AD48" s="14"/>
    </row>
    <row r="49" spans="1:30" x14ac:dyDescent="0.25">
      <c r="A49" s="14" t="s">
        <v>51</v>
      </c>
      <c r="B49" s="15" t="s">
        <v>52</v>
      </c>
      <c r="C49" s="50">
        <v>42.9</v>
      </c>
      <c r="D49" s="16">
        <f t="shared" si="19"/>
        <v>114.54299999999999</v>
      </c>
      <c r="E49" s="16">
        <v>29.11</v>
      </c>
      <c r="F49" s="42">
        <f t="shared" si="2"/>
        <v>31.1477</v>
      </c>
      <c r="G49" s="27">
        <f>D49+E49</f>
        <v>143.65299999999999</v>
      </c>
      <c r="H49" s="41">
        <f t="shared" si="4"/>
        <v>46.721550000000001</v>
      </c>
      <c r="I49" s="44">
        <f>D49+H49</f>
        <v>161.26454999999999</v>
      </c>
      <c r="J49" s="51">
        <f t="shared" ref="J49:J51" si="20">PRODUCT(E49,$J$2)</f>
        <v>29.11</v>
      </c>
      <c r="K49" s="45">
        <f t="shared" si="6"/>
        <v>143.65299999999999</v>
      </c>
      <c r="L49" s="16"/>
      <c r="M49" s="21"/>
      <c r="N49" s="22">
        <v>365</v>
      </c>
      <c r="O49" s="22">
        <v>720</v>
      </c>
      <c r="P49" s="22">
        <v>560</v>
      </c>
      <c r="Q49" s="14" t="s">
        <v>408</v>
      </c>
      <c r="R49" s="14" t="s">
        <v>424</v>
      </c>
      <c r="S49" s="14">
        <v>1</v>
      </c>
      <c r="T49" s="14">
        <v>715</v>
      </c>
      <c r="U49" s="14">
        <v>395</v>
      </c>
      <c r="V49" s="14"/>
      <c r="W49" s="14"/>
      <c r="X49" s="14"/>
      <c r="Y49" s="14"/>
      <c r="Z49" s="14"/>
      <c r="AA49" s="14"/>
      <c r="AB49" s="14"/>
      <c r="AC49" s="14"/>
      <c r="AD49" s="14"/>
    </row>
    <row r="50" spans="1:30" x14ac:dyDescent="0.25">
      <c r="A50" s="14"/>
      <c r="B50" s="25" t="s">
        <v>19</v>
      </c>
      <c r="C50" s="50"/>
      <c r="D50" s="16"/>
      <c r="E50" s="16"/>
      <c r="F50" s="42">
        <f t="shared" si="2"/>
        <v>1.07</v>
      </c>
      <c r="G50" s="27"/>
      <c r="H50" s="16"/>
      <c r="I50" s="19"/>
      <c r="J50" s="51">
        <f t="shared" si="20"/>
        <v>0</v>
      </c>
      <c r="K50" s="45">
        <f t="shared" si="6"/>
        <v>0</v>
      </c>
      <c r="L50" s="16"/>
      <c r="M50" s="21"/>
      <c r="N50" s="22"/>
      <c r="O50" s="22"/>
      <c r="P50" s="22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x14ac:dyDescent="0.25">
      <c r="A51" s="14" t="s">
        <v>53</v>
      </c>
      <c r="B51" s="15" t="s">
        <v>593</v>
      </c>
      <c r="C51" s="50">
        <v>39.6</v>
      </c>
      <c r="D51" s="16">
        <f t="shared" ref="D51:D56" si="21">PRODUCT(C51,$D$1)</f>
        <v>105.732</v>
      </c>
      <c r="E51" s="16">
        <v>45.3</v>
      </c>
      <c r="F51" s="42">
        <f t="shared" si="2"/>
        <v>48.470999999999997</v>
      </c>
      <c r="G51" s="27">
        <f t="shared" ref="G51:G56" si="22">D51+E51</f>
        <v>151.03199999999998</v>
      </c>
      <c r="H51" s="16"/>
      <c r="I51" s="19"/>
      <c r="J51" s="51">
        <f t="shared" si="20"/>
        <v>45.3</v>
      </c>
      <c r="K51" s="45">
        <f t="shared" si="6"/>
        <v>151.03199999999998</v>
      </c>
      <c r="L51" s="16"/>
      <c r="M51" s="21"/>
      <c r="N51" s="22">
        <v>500</v>
      </c>
      <c r="O51" s="22">
        <v>720</v>
      </c>
      <c r="P51" s="22">
        <v>560</v>
      </c>
      <c r="Q51" s="14" t="s">
        <v>425</v>
      </c>
      <c r="R51" s="14" t="s">
        <v>426</v>
      </c>
      <c r="S51" s="14">
        <v>1</v>
      </c>
      <c r="T51" s="14">
        <v>570</v>
      </c>
      <c r="U51" s="14">
        <v>495</v>
      </c>
      <c r="V51" s="14">
        <v>1</v>
      </c>
      <c r="W51" s="14">
        <v>140</v>
      </c>
      <c r="X51" s="14">
        <v>495</v>
      </c>
      <c r="Y51" s="14"/>
      <c r="Z51" s="14"/>
      <c r="AA51" s="14"/>
      <c r="AB51" s="14"/>
      <c r="AC51" s="14"/>
      <c r="AD51" s="14"/>
    </row>
    <row r="52" spans="1:30" x14ac:dyDescent="0.25">
      <c r="A52" s="14" t="s">
        <v>54</v>
      </c>
      <c r="B52" s="15" t="s">
        <v>594</v>
      </c>
      <c r="C52" s="50">
        <v>41.8</v>
      </c>
      <c r="D52" s="16">
        <f t="shared" si="21"/>
        <v>111.60599999999999</v>
      </c>
      <c r="E52" s="16">
        <v>53.65</v>
      </c>
      <c r="F52" s="42">
        <f t="shared" si="2"/>
        <v>57.405500000000004</v>
      </c>
      <c r="G52" s="27">
        <f t="shared" si="22"/>
        <v>165.256</v>
      </c>
      <c r="H52" s="16"/>
      <c r="I52" s="19"/>
      <c r="J52" s="57"/>
      <c r="K52" s="45">
        <f t="shared" si="6"/>
        <v>111.60599999999999</v>
      </c>
      <c r="L52" s="16"/>
      <c r="M52" s="21"/>
      <c r="N52" s="22">
        <v>600</v>
      </c>
      <c r="O52" s="22">
        <v>720</v>
      </c>
      <c r="P52" s="22">
        <v>560</v>
      </c>
      <c r="Q52" s="14" t="s">
        <v>425</v>
      </c>
      <c r="R52" s="14" t="s">
        <v>426</v>
      </c>
      <c r="S52" s="14">
        <v>1</v>
      </c>
      <c r="T52" s="14">
        <v>570</v>
      </c>
      <c r="U52" s="14">
        <v>595</v>
      </c>
      <c r="V52" s="14">
        <v>1</v>
      </c>
      <c r="W52" s="14">
        <v>140</v>
      </c>
      <c r="X52" s="14">
        <v>595</v>
      </c>
      <c r="Y52" s="14"/>
      <c r="Z52" s="14"/>
      <c r="AA52" s="14"/>
      <c r="AB52" s="14"/>
      <c r="AC52" s="14"/>
      <c r="AD52" s="14"/>
    </row>
    <row r="53" spans="1:30" x14ac:dyDescent="0.25">
      <c r="A53" s="14" t="s">
        <v>55</v>
      </c>
      <c r="B53" s="15" t="s">
        <v>595</v>
      </c>
      <c r="C53" s="50">
        <v>45.1</v>
      </c>
      <c r="D53" s="16">
        <f t="shared" si="21"/>
        <v>120.417</v>
      </c>
      <c r="E53" s="16">
        <v>78.680000000000007</v>
      </c>
      <c r="F53" s="42">
        <f t="shared" si="2"/>
        <v>84.187600000000018</v>
      </c>
      <c r="G53" s="27">
        <f t="shared" si="22"/>
        <v>199.09700000000001</v>
      </c>
      <c r="H53" s="16"/>
      <c r="I53" s="19"/>
      <c r="J53" s="52">
        <f t="shared" ref="J53:J60" si="23">PRODUCT(E53,$J$2)</f>
        <v>78.680000000000007</v>
      </c>
      <c r="K53" s="45">
        <f t="shared" si="6"/>
        <v>199.09700000000001</v>
      </c>
      <c r="L53" s="16"/>
      <c r="M53" s="21"/>
      <c r="N53" s="22">
        <v>800</v>
      </c>
      <c r="O53" s="22">
        <v>720</v>
      </c>
      <c r="P53" s="22">
        <v>560</v>
      </c>
      <c r="Q53" s="14" t="s">
        <v>425</v>
      </c>
      <c r="R53" s="14" t="s">
        <v>426</v>
      </c>
      <c r="S53" s="14">
        <v>2</v>
      </c>
      <c r="T53" s="14">
        <v>570</v>
      </c>
      <c r="U53" s="14">
        <v>395</v>
      </c>
      <c r="V53" s="14">
        <v>2</v>
      </c>
      <c r="W53" s="14">
        <v>140</v>
      </c>
      <c r="X53" s="14">
        <v>395</v>
      </c>
      <c r="Y53" s="14"/>
      <c r="Z53" s="14"/>
      <c r="AA53" s="14"/>
      <c r="AB53" s="14"/>
      <c r="AC53" s="14"/>
      <c r="AD53" s="14"/>
    </row>
    <row r="54" spans="1:30" x14ac:dyDescent="0.25">
      <c r="A54" s="14" t="s">
        <v>56</v>
      </c>
      <c r="B54" s="15" t="s">
        <v>596</v>
      </c>
      <c r="C54" s="50">
        <v>46.2</v>
      </c>
      <c r="D54" s="16">
        <f t="shared" si="21"/>
        <v>123.354</v>
      </c>
      <c r="E54" s="16">
        <v>84.14</v>
      </c>
      <c r="F54" s="42">
        <f t="shared" si="2"/>
        <v>90.029800000000009</v>
      </c>
      <c r="G54" s="27">
        <f t="shared" si="22"/>
        <v>207.494</v>
      </c>
      <c r="H54" s="16"/>
      <c r="I54" s="19"/>
      <c r="J54" s="52">
        <f t="shared" si="23"/>
        <v>84.14</v>
      </c>
      <c r="K54" s="45">
        <f t="shared" si="6"/>
        <v>207.494</v>
      </c>
      <c r="L54" s="16"/>
      <c r="M54" s="21"/>
      <c r="N54" s="22">
        <v>900</v>
      </c>
      <c r="O54" s="22">
        <v>720</v>
      </c>
      <c r="P54" s="22">
        <v>560</v>
      </c>
      <c r="Q54" s="14" t="s">
        <v>425</v>
      </c>
      <c r="R54" s="14" t="s">
        <v>426</v>
      </c>
      <c r="S54" s="14">
        <v>2</v>
      </c>
      <c r="T54" s="14">
        <v>570</v>
      </c>
      <c r="U54" s="14">
        <v>445</v>
      </c>
      <c r="V54" s="14">
        <v>2</v>
      </c>
      <c r="W54" s="14">
        <v>140</v>
      </c>
      <c r="X54" s="14">
        <v>445</v>
      </c>
      <c r="Y54" s="14"/>
      <c r="Z54" s="14"/>
      <c r="AA54" s="14"/>
      <c r="AB54" s="14"/>
      <c r="AC54" s="14"/>
      <c r="AD54" s="14"/>
    </row>
    <row r="55" spans="1:30" x14ac:dyDescent="0.25">
      <c r="A55" s="14" t="s">
        <v>57</v>
      </c>
      <c r="B55" s="15" t="s">
        <v>597</v>
      </c>
      <c r="C55" s="50">
        <v>47.3</v>
      </c>
      <c r="D55" s="16">
        <f t="shared" si="21"/>
        <v>126.29099999999998</v>
      </c>
      <c r="E55" s="16">
        <v>90.6</v>
      </c>
      <c r="F55" s="42">
        <f t="shared" si="2"/>
        <v>96.941999999999993</v>
      </c>
      <c r="G55" s="27">
        <f t="shared" si="22"/>
        <v>216.89099999999996</v>
      </c>
      <c r="H55" s="16"/>
      <c r="I55" s="19"/>
      <c r="J55" s="52">
        <f t="shared" si="23"/>
        <v>90.6</v>
      </c>
      <c r="K55" s="45">
        <f t="shared" si="6"/>
        <v>216.89099999999996</v>
      </c>
      <c r="L55" s="16"/>
      <c r="M55" s="21"/>
      <c r="N55" s="22">
        <v>1000</v>
      </c>
      <c r="O55" s="22">
        <v>720</v>
      </c>
      <c r="P55" s="22">
        <v>560</v>
      </c>
      <c r="Q55" s="14" t="s">
        <v>425</v>
      </c>
      <c r="R55" s="14" t="s">
        <v>426</v>
      </c>
      <c r="S55" s="14">
        <v>2</v>
      </c>
      <c r="T55" s="14">
        <v>570</v>
      </c>
      <c r="U55" s="14">
        <v>495</v>
      </c>
      <c r="V55" s="14">
        <v>2</v>
      </c>
      <c r="W55" s="14">
        <v>140</v>
      </c>
      <c r="X55" s="14">
        <v>495</v>
      </c>
      <c r="Y55" s="14"/>
      <c r="Z55" s="14"/>
      <c r="AA55" s="14"/>
      <c r="AB55" s="14"/>
      <c r="AC55" s="14"/>
      <c r="AD55" s="14"/>
    </row>
    <row r="56" spans="1:30" x14ac:dyDescent="0.25">
      <c r="A56" s="14" t="s">
        <v>58</v>
      </c>
      <c r="B56" s="15" t="s">
        <v>598</v>
      </c>
      <c r="C56" s="50">
        <v>49.5</v>
      </c>
      <c r="D56" s="16">
        <f t="shared" si="21"/>
        <v>132.16499999999999</v>
      </c>
      <c r="E56" s="16">
        <v>107.3</v>
      </c>
      <c r="F56" s="42">
        <f t="shared" si="2"/>
        <v>114.81100000000001</v>
      </c>
      <c r="G56" s="27">
        <f t="shared" si="22"/>
        <v>239.46499999999997</v>
      </c>
      <c r="H56" s="16"/>
      <c r="I56" s="19"/>
      <c r="J56" s="52">
        <f t="shared" si="23"/>
        <v>107.3</v>
      </c>
      <c r="K56" s="45">
        <f t="shared" si="6"/>
        <v>239.46499999999997</v>
      </c>
      <c r="L56" s="16"/>
      <c r="M56" s="21"/>
      <c r="N56" s="22">
        <v>1200</v>
      </c>
      <c r="O56" s="22">
        <v>720</v>
      </c>
      <c r="P56" s="22">
        <v>560</v>
      </c>
      <c r="Q56" s="14" t="s">
        <v>425</v>
      </c>
      <c r="R56" s="14" t="s">
        <v>426</v>
      </c>
      <c r="S56" s="14">
        <v>2</v>
      </c>
      <c r="T56" s="14">
        <v>570</v>
      </c>
      <c r="U56" s="14">
        <v>595</v>
      </c>
      <c r="V56" s="14">
        <v>2</v>
      </c>
      <c r="W56" s="14">
        <v>140</v>
      </c>
      <c r="X56" s="14">
        <v>595</v>
      </c>
      <c r="Y56" s="14"/>
      <c r="Z56" s="14"/>
      <c r="AA56" s="14"/>
      <c r="AB56" s="14"/>
      <c r="AC56" s="14"/>
      <c r="AD56" s="14"/>
    </row>
    <row r="57" spans="1:30" x14ac:dyDescent="0.25">
      <c r="A57" s="14"/>
      <c r="B57" s="25" t="s">
        <v>19</v>
      </c>
      <c r="C57" s="70"/>
      <c r="D57" s="28"/>
      <c r="E57" s="28"/>
      <c r="F57" s="42"/>
      <c r="G57" s="27"/>
      <c r="H57" s="28"/>
      <c r="I57" s="82"/>
      <c r="J57" s="52"/>
      <c r="K57" s="45"/>
      <c r="L57" s="28"/>
      <c r="M57" s="31"/>
      <c r="N57" s="32"/>
      <c r="O57" s="32"/>
      <c r="P57" s="32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1:30" x14ac:dyDescent="0.25">
      <c r="A58" s="14"/>
      <c r="B58" s="25" t="s">
        <v>20</v>
      </c>
      <c r="C58" s="70"/>
      <c r="D58" s="28"/>
      <c r="E58" s="28"/>
      <c r="F58" s="42"/>
      <c r="G58" s="27"/>
      <c r="H58" s="28"/>
      <c r="I58" s="82"/>
      <c r="J58" s="52"/>
      <c r="K58" s="45"/>
      <c r="L58" s="28"/>
      <c r="M58" s="31"/>
      <c r="N58" s="32"/>
      <c r="O58" s="32"/>
      <c r="P58" s="32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1:30" x14ac:dyDescent="0.25">
      <c r="A59" s="14" t="s">
        <v>60</v>
      </c>
      <c r="B59" s="102" t="s">
        <v>61</v>
      </c>
      <c r="C59" s="50">
        <v>160</v>
      </c>
      <c r="D59" s="16">
        <v>227.79</v>
      </c>
      <c r="E59" s="16">
        <v>52.32</v>
      </c>
      <c r="F59" s="42">
        <f t="shared" si="2"/>
        <v>55.982400000000005</v>
      </c>
      <c r="G59" s="27">
        <f>D59+E59</f>
        <v>280.11</v>
      </c>
      <c r="H59" s="16"/>
      <c r="I59" s="19"/>
      <c r="J59" s="52">
        <f t="shared" si="23"/>
        <v>52.32</v>
      </c>
      <c r="K59" s="45">
        <f t="shared" si="6"/>
        <v>280.11</v>
      </c>
      <c r="L59" s="16"/>
      <c r="M59" s="21"/>
      <c r="N59" s="22">
        <v>500</v>
      </c>
      <c r="O59" s="22">
        <v>720</v>
      </c>
      <c r="P59" s="22">
        <v>560</v>
      </c>
      <c r="Q59" s="14" t="s">
        <v>408</v>
      </c>
      <c r="R59" s="14" t="s">
        <v>427</v>
      </c>
      <c r="S59" s="14">
        <v>4</v>
      </c>
      <c r="T59" s="14">
        <v>175</v>
      </c>
      <c r="U59" s="14">
        <v>495</v>
      </c>
      <c r="V59" s="14"/>
      <c r="W59" s="14"/>
      <c r="X59" s="14"/>
      <c r="Y59" s="14"/>
      <c r="Z59" s="14"/>
      <c r="AA59" s="14"/>
      <c r="AB59" s="14"/>
      <c r="AC59" s="14"/>
      <c r="AD59" s="14"/>
    </row>
    <row r="60" spans="1:30" x14ac:dyDescent="0.25">
      <c r="A60" s="14" t="s">
        <v>62</v>
      </c>
      <c r="B60" s="102" t="s">
        <v>63</v>
      </c>
      <c r="C60" s="50">
        <v>161</v>
      </c>
      <c r="D60" s="16">
        <v>229.41</v>
      </c>
      <c r="E60" s="16">
        <v>60.8</v>
      </c>
      <c r="F60" s="42">
        <f t="shared" si="2"/>
        <v>65.055999999999997</v>
      </c>
      <c r="G60" s="27">
        <f>D60+E60</f>
        <v>290.20999999999998</v>
      </c>
      <c r="H60" s="16"/>
      <c r="I60" s="19"/>
      <c r="J60" s="52">
        <f t="shared" si="23"/>
        <v>60.8</v>
      </c>
      <c r="K60" s="45">
        <f t="shared" si="6"/>
        <v>290.20999999999998</v>
      </c>
      <c r="L60" s="16"/>
      <c r="M60" s="21"/>
      <c r="N60" s="22">
        <v>600</v>
      </c>
      <c r="O60" s="22">
        <v>720</v>
      </c>
      <c r="P60" s="22">
        <v>560</v>
      </c>
      <c r="Q60" s="14" t="s">
        <v>408</v>
      </c>
      <c r="R60" s="14" t="s">
        <v>427</v>
      </c>
      <c r="S60" s="14">
        <v>4</v>
      </c>
      <c r="T60" s="14">
        <v>175</v>
      </c>
      <c r="U60" s="14">
        <v>595</v>
      </c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ht="15.75" thickBot="1" x14ac:dyDescent="0.3">
      <c r="A61" s="14"/>
      <c r="B61" s="102"/>
      <c r="C61" s="50"/>
      <c r="D61" s="16"/>
      <c r="E61" s="16"/>
      <c r="F61" s="42"/>
      <c r="G61" s="27"/>
      <c r="H61" s="16"/>
      <c r="I61" s="19"/>
      <c r="J61" s="53"/>
      <c r="K61" s="45"/>
      <c r="L61" s="16"/>
      <c r="M61" s="21"/>
      <c r="N61" s="22"/>
      <c r="O61" s="22"/>
      <c r="P61" s="22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1:30" x14ac:dyDescent="0.25">
      <c r="A62" s="14" t="s">
        <v>64</v>
      </c>
      <c r="B62" s="102" t="s">
        <v>606</v>
      </c>
      <c r="C62" s="50">
        <v>189</v>
      </c>
      <c r="D62" s="101">
        <f t="shared" ref="D62:D66" si="24">PRODUCT(C62,$D$1)</f>
        <v>504.63</v>
      </c>
      <c r="E62" s="16">
        <v>42.45</v>
      </c>
      <c r="F62" s="16"/>
      <c r="G62" s="27">
        <f>D62+E62</f>
        <v>547.08000000000004</v>
      </c>
      <c r="H62" s="16"/>
      <c r="I62" s="19"/>
      <c r="J62" s="16"/>
      <c r="K62" s="20"/>
      <c r="L62" s="16"/>
      <c r="M62" s="21"/>
      <c r="N62" s="22">
        <v>300</v>
      </c>
      <c r="O62" s="22">
        <v>720</v>
      </c>
      <c r="P62" s="22">
        <v>560</v>
      </c>
      <c r="Q62" s="14" t="s">
        <v>408</v>
      </c>
      <c r="R62" s="14" t="s">
        <v>427</v>
      </c>
      <c r="S62" s="14">
        <v>5</v>
      </c>
      <c r="T62" s="14">
        <v>140</v>
      </c>
      <c r="U62" s="14">
        <v>295</v>
      </c>
      <c r="V62" s="14"/>
      <c r="W62" s="14"/>
      <c r="X62" s="14"/>
      <c r="Y62" s="14"/>
      <c r="Z62" s="14"/>
      <c r="AA62" s="14"/>
      <c r="AB62" s="14"/>
      <c r="AC62" s="14"/>
      <c r="AD62" s="14"/>
    </row>
    <row r="63" spans="1:30" x14ac:dyDescent="0.25">
      <c r="A63" s="14" t="s">
        <v>65</v>
      </c>
      <c r="B63" s="102" t="s">
        <v>66</v>
      </c>
      <c r="C63" s="50">
        <v>190</v>
      </c>
      <c r="D63" s="101">
        <f t="shared" si="24"/>
        <v>507.3</v>
      </c>
      <c r="E63" s="16">
        <v>47.6</v>
      </c>
      <c r="F63" s="16"/>
      <c r="G63" s="27">
        <f>D63+E63</f>
        <v>554.9</v>
      </c>
      <c r="H63" s="16"/>
      <c r="I63" s="19"/>
      <c r="J63" s="16"/>
      <c r="K63" s="20"/>
      <c r="L63" s="16"/>
      <c r="M63" s="21"/>
      <c r="N63" s="22">
        <v>400</v>
      </c>
      <c r="O63" s="22">
        <v>720</v>
      </c>
      <c r="P63" s="22">
        <v>560</v>
      </c>
      <c r="Q63" s="14" t="s">
        <v>408</v>
      </c>
      <c r="R63" s="14" t="s">
        <v>427</v>
      </c>
      <c r="S63" s="14">
        <v>5</v>
      </c>
      <c r="T63" s="14">
        <v>140</v>
      </c>
      <c r="U63" s="14">
        <v>395</v>
      </c>
      <c r="V63" s="14"/>
      <c r="W63" s="14"/>
      <c r="X63" s="14"/>
      <c r="Y63" s="14"/>
      <c r="Z63" s="14"/>
      <c r="AA63" s="14"/>
      <c r="AB63" s="14"/>
      <c r="AC63" s="14"/>
      <c r="AD63" s="14"/>
    </row>
    <row r="64" spans="1:30" x14ac:dyDescent="0.25">
      <c r="A64" s="14" t="s">
        <v>67</v>
      </c>
      <c r="B64" s="102" t="s">
        <v>68</v>
      </c>
      <c r="C64" s="50">
        <v>191</v>
      </c>
      <c r="D64" s="101">
        <f t="shared" si="24"/>
        <v>509.96999999999997</v>
      </c>
      <c r="E64" s="16">
        <v>52.1</v>
      </c>
      <c r="F64" s="16"/>
      <c r="G64" s="27">
        <f>D64+E64</f>
        <v>562.06999999999994</v>
      </c>
      <c r="H64" s="16"/>
      <c r="I64" s="19"/>
      <c r="J64" s="16"/>
      <c r="K64" s="20"/>
      <c r="L64" s="16"/>
      <c r="M64" s="21"/>
      <c r="N64" s="22">
        <v>450</v>
      </c>
      <c r="O64" s="22">
        <v>720</v>
      </c>
      <c r="P64" s="22">
        <v>560</v>
      </c>
      <c r="Q64" s="14" t="s">
        <v>408</v>
      </c>
      <c r="R64" s="14" t="s">
        <v>427</v>
      </c>
      <c r="S64" s="14">
        <v>5</v>
      </c>
      <c r="T64" s="14">
        <v>140</v>
      </c>
      <c r="U64" s="14">
        <v>445</v>
      </c>
      <c r="V64" s="14"/>
      <c r="W64" s="14"/>
      <c r="X64" s="14"/>
      <c r="Y64" s="14"/>
      <c r="Z64" s="14"/>
      <c r="AA64" s="14"/>
      <c r="AB64" s="14"/>
      <c r="AC64" s="14"/>
      <c r="AD64" s="14"/>
    </row>
    <row r="65" spans="1:30" x14ac:dyDescent="0.25">
      <c r="A65" s="14" t="s">
        <v>69</v>
      </c>
      <c r="B65" s="102" t="s">
        <v>70</v>
      </c>
      <c r="C65" s="50">
        <v>192</v>
      </c>
      <c r="D65" s="101">
        <f t="shared" si="24"/>
        <v>512.64</v>
      </c>
      <c r="E65" s="16">
        <v>56.75</v>
      </c>
      <c r="F65" s="16"/>
      <c r="G65" s="27">
        <f>D65+E65</f>
        <v>569.39</v>
      </c>
      <c r="H65" s="16"/>
      <c r="I65" s="19"/>
      <c r="J65" s="16"/>
      <c r="K65" s="20"/>
      <c r="L65" s="16"/>
      <c r="M65" s="21"/>
      <c r="N65" s="22">
        <v>500</v>
      </c>
      <c r="O65" s="22">
        <v>720</v>
      </c>
      <c r="P65" s="22">
        <v>560</v>
      </c>
      <c r="Q65" s="14" t="s">
        <v>408</v>
      </c>
      <c r="R65" s="14" t="s">
        <v>427</v>
      </c>
      <c r="S65" s="14">
        <v>5</v>
      </c>
      <c r="T65" s="14">
        <v>140</v>
      </c>
      <c r="U65" s="14">
        <v>495</v>
      </c>
      <c r="V65" s="14"/>
      <c r="W65" s="14"/>
      <c r="X65" s="14"/>
      <c r="Y65" s="14"/>
      <c r="Z65" s="14"/>
      <c r="AA65" s="14"/>
      <c r="AB65" s="14"/>
      <c r="AC65" s="14"/>
      <c r="AD65" s="14"/>
    </row>
    <row r="66" spans="1:30" x14ac:dyDescent="0.25">
      <c r="A66" s="14" t="s">
        <v>71</v>
      </c>
      <c r="B66" s="102" t="s">
        <v>72</v>
      </c>
      <c r="C66" s="50">
        <v>193</v>
      </c>
      <c r="D66" s="101">
        <f t="shared" si="24"/>
        <v>515.30999999999995</v>
      </c>
      <c r="E66" s="16">
        <v>63.3</v>
      </c>
      <c r="F66" s="16"/>
      <c r="G66" s="27">
        <f>D66+E66</f>
        <v>578.6099999999999</v>
      </c>
      <c r="H66" s="16"/>
      <c r="I66" s="19"/>
      <c r="J66" s="16"/>
      <c r="K66" s="20"/>
      <c r="L66" s="16"/>
      <c r="M66" s="21"/>
      <c r="N66" s="22">
        <v>600</v>
      </c>
      <c r="O66" s="22">
        <v>720</v>
      </c>
      <c r="P66" s="22">
        <v>560</v>
      </c>
      <c r="Q66" s="14" t="s">
        <v>408</v>
      </c>
      <c r="R66" s="14" t="s">
        <v>427</v>
      </c>
      <c r="S66" s="14">
        <v>5</v>
      </c>
      <c r="T66" s="14">
        <v>140</v>
      </c>
      <c r="U66" s="14">
        <v>595</v>
      </c>
      <c r="V66" s="14"/>
      <c r="W66" s="14"/>
      <c r="X66" s="14"/>
      <c r="Y66" s="14"/>
      <c r="Z66" s="14"/>
      <c r="AA66" s="14"/>
      <c r="AB66" s="14"/>
      <c r="AC66" s="14"/>
      <c r="AD66" s="14"/>
    </row>
    <row r="67" spans="1:30" x14ac:dyDescent="0.25">
      <c r="A67" s="14"/>
      <c r="B67" s="102"/>
      <c r="C67" s="50"/>
      <c r="D67" s="101"/>
      <c r="E67" s="16"/>
      <c r="F67" s="16"/>
      <c r="G67" s="27"/>
      <c r="H67" s="16"/>
      <c r="I67" s="19"/>
      <c r="J67" s="16"/>
      <c r="K67" s="20"/>
      <c r="L67" s="16"/>
      <c r="M67" s="21"/>
      <c r="N67" s="22"/>
      <c r="O67" s="22"/>
      <c r="P67" s="22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1:30" x14ac:dyDescent="0.25">
      <c r="A68" s="14" t="s">
        <v>73</v>
      </c>
      <c r="B68" s="102" t="s">
        <v>74</v>
      </c>
      <c r="C68" s="50">
        <v>139</v>
      </c>
      <c r="D68" s="101">
        <f t="shared" ref="D68:D69" si="25">PRODUCT(C68,$D$1)</f>
        <v>371.13</v>
      </c>
      <c r="E68" s="16">
        <v>48.36</v>
      </c>
      <c r="F68" s="16"/>
      <c r="G68" s="27">
        <f>D68+E68</f>
        <v>419.49</v>
      </c>
      <c r="H68" s="16"/>
      <c r="I68" s="19"/>
      <c r="J68" s="16"/>
      <c r="K68" s="20"/>
      <c r="L68" s="16"/>
      <c r="M68" s="21"/>
      <c r="N68" s="22">
        <v>500</v>
      </c>
      <c r="O68" s="22">
        <v>720</v>
      </c>
      <c r="P68" s="22">
        <v>560</v>
      </c>
      <c r="Q68" s="14" t="s">
        <v>408</v>
      </c>
      <c r="R68" s="14" t="s">
        <v>427</v>
      </c>
      <c r="S68" s="14">
        <v>2</v>
      </c>
      <c r="T68" s="14">
        <v>175</v>
      </c>
      <c r="U68" s="14">
        <v>495</v>
      </c>
      <c r="V68" s="14">
        <v>1</v>
      </c>
      <c r="W68" s="14">
        <v>355</v>
      </c>
      <c r="X68" s="14">
        <v>495</v>
      </c>
      <c r="Y68" s="14"/>
      <c r="Z68" s="14"/>
      <c r="AA68" s="14"/>
      <c r="AB68" s="14"/>
      <c r="AC68" s="14"/>
      <c r="AD68" s="14"/>
    </row>
    <row r="69" spans="1:30" x14ac:dyDescent="0.25">
      <c r="A69" s="14" t="s">
        <v>75</v>
      </c>
      <c r="B69" s="102" t="s">
        <v>76</v>
      </c>
      <c r="C69" s="50">
        <v>140</v>
      </c>
      <c r="D69" s="101">
        <f t="shared" si="25"/>
        <v>373.8</v>
      </c>
      <c r="E69" s="16">
        <v>53.32</v>
      </c>
      <c r="F69" s="16"/>
      <c r="G69" s="27">
        <f>D69+E69</f>
        <v>427.12</v>
      </c>
      <c r="H69" s="16"/>
      <c r="I69" s="19"/>
      <c r="J69" s="16"/>
      <c r="K69" s="20"/>
      <c r="L69" s="16"/>
      <c r="M69" s="21"/>
      <c r="N69" s="22">
        <v>600</v>
      </c>
      <c r="O69" s="22">
        <v>720</v>
      </c>
      <c r="P69" s="22">
        <v>560</v>
      </c>
      <c r="Q69" s="14" t="s">
        <v>408</v>
      </c>
      <c r="R69" s="14" t="s">
        <v>427</v>
      </c>
      <c r="S69" s="14">
        <v>2</v>
      </c>
      <c r="T69" s="14">
        <v>175</v>
      </c>
      <c r="U69" s="14">
        <v>595</v>
      </c>
      <c r="V69" s="14">
        <v>1</v>
      </c>
      <c r="W69" s="14">
        <v>355</v>
      </c>
      <c r="X69" s="14">
        <v>595</v>
      </c>
      <c r="Y69" s="14"/>
      <c r="Z69" s="14"/>
      <c r="AA69" s="14"/>
      <c r="AB69" s="14"/>
      <c r="AC69" s="14"/>
      <c r="AD69" s="14"/>
    </row>
    <row r="70" spans="1:30" x14ac:dyDescent="0.25">
      <c r="A70" s="14"/>
      <c r="B70" s="102"/>
      <c r="C70" s="50"/>
      <c r="D70" s="101"/>
      <c r="E70" s="16"/>
      <c r="F70" s="16"/>
      <c r="G70" s="27"/>
      <c r="H70" s="16"/>
      <c r="I70" s="19"/>
      <c r="J70" s="16"/>
      <c r="K70" s="20"/>
      <c r="L70" s="16"/>
      <c r="M70" s="21"/>
      <c r="N70" s="22"/>
      <c r="O70" s="22"/>
      <c r="P70" s="22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spans="1:30" x14ac:dyDescent="0.25">
      <c r="A71" s="14" t="s">
        <v>77</v>
      </c>
      <c r="B71" s="102" t="s">
        <v>78</v>
      </c>
      <c r="C71" s="50">
        <v>171</v>
      </c>
      <c r="D71" s="101">
        <f t="shared" ref="D71:D72" si="26">PRODUCT(C71,$D$1)</f>
        <v>456.57</v>
      </c>
      <c r="E71" s="16">
        <v>50.52</v>
      </c>
      <c r="F71" s="16"/>
      <c r="G71" s="27">
        <f>D71+E71</f>
        <v>507.09</v>
      </c>
      <c r="H71" s="16"/>
      <c r="I71" s="19"/>
      <c r="J71" s="16"/>
      <c r="K71" s="20"/>
      <c r="L71" s="16"/>
      <c r="M71" s="21"/>
      <c r="N71" s="22">
        <v>500</v>
      </c>
      <c r="O71" s="22">
        <v>720</v>
      </c>
      <c r="P71" s="22">
        <v>560</v>
      </c>
      <c r="Q71" s="14" t="s">
        <v>408</v>
      </c>
      <c r="R71" s="14" t="s">
        <v>427</v>
      </c>
      <c r="S71" s="14">
        <v>3</v>
      </c>
      <c r="T71" s="14">
        <v>140</v>
      </c>
      <c r="U71" s="14">
        <v>495</v>
      </c>
      <c r="V71" s="14">
        <v>1</v>
      </c>
      <c r="W71" s="14">
        <v>283</v>
      </c>
      <c r="X71" s="14">
        <v>495</v>
      </c>
      <c r="Y71" s="14"/>
      <c r="Z71" s="14"/>
      <c r="AA71" s="14"/>
      <c r="AB71" s="14"/>
      <c r="AC71" s="14"/>
      <c r="AD71" s="14"/>
    </row>
    <row r="72" spans="1:30" x14ac:dyDescent="0.25">
      <c r="A72" s="14" t="s">
        <v>79</v>
      </c>
      <c r="B72" s="102" t="s">
        <v>80</v>
      </c>
      <c r="C72" s="50">
        <v>172</v>
      </c>
      <c r="D72" s="101">
        <f t="shared" si="26"/>
        <v>459.24</v>
      </c>
      <c r="E72" s="16">
        <v>54.66</v>
      </c>
      <c r="F72" s="16"/>
      <c r="G72" s="27">
        <f>D72+E72</f>
        <v>513.9</v>
      </c>
      <c r="H72" s="16"/>
      <c r="I72" s="19"/>
      <c r="J72" s="16"/>
      <c r="K72" s="20"/>
      <c r="L72" s="16"/>
      <c r="M72" s="21"/>
      <c r="N72" s="22">
        <v>600</v>
      </c>
      <c r="O72" s="22">
        <v>720</v>
      </c>
      <c r="P72" s="22">
        <v>560</v>
      </c>
      <c r="Q72" s="14" t="s">
        <v>408</v>
      </c>
      <c r="R72" s="14" t="s">
        <v>427</v>
      </c>
      <c r="S72" s="14">
        <v>3</v>
      </c>
      <c r="T72" s="14">
        <v>140</v>
      </c>
      <c r="U72" s="14">
        <v>595</v>
      </c>
      <c r="V72" s="14">
        <v>1</v>
      </c>
      <c r="W72" s="14">
        <v>283</v>
      </c>
      <c r="X72" s="14">
        <v>595</v>
      </c>
      <c r="Y72" s="14"/>
      <c r="Z72" s="14"/>
      <c r="AA72" s="14"/>
      <c r="AB72" s="14"/>
      <c r="AC72" s="14"/>
      <c r="AD72" s="14"/>
    </row>
    <row r="73" spans="1:30" x14ac:dyDescent="0.25">
      <c r="A73" s="14"/>
      <c r="B73" s="99"/>
      <c r="C73" s="50"/>
      <c r="D73" s="101"/>
      <c r="E73" s="16"/>
      <c r="F73" s="16"/>
      <c r="G73" s="27"/>
      <c r="H73" s="16"/>
      <c r="I73" s="19"/>
      <c r="J73" s="16"/>
      <c r="K73" s="20"/>
      <c r="L73" s="16"/>
      <c r="M73" s="21"/>
      <c r="N73" s="22"/>
      <c r="O73" s="22"/>
      <c r="P73" s="22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spans="1:30" x14ac:dyDescent="0.25">
      <c r="A74" s="14" t="s">
        <v>81</v>
      </c>
      <c r="B74" s="99" t="s">
        <v>82</v>
      </c>
      <c r="C74" s="50">
        <v>149</v>
      </c>
      <c r="D74" s="16">
        <v>261.38</v>
      </c>
      <c r="E74" s="16">
        <v>44.29</v>
      </c>
      <c r="F74" s="16"/>
      <c r="G74" s="27">
        <f>D74+E74</f>
        <v>305.67</v>
      </c>
      <c r="H74" s="16"/>
      <c r="I74" s="19"/>
      <c r="J74" s="16"/>
      <c r="K74" s="20"/>
      <c r="L74" s="16"/>
      <c r="M74" s="21"/>
      <c r="N74" s="22">
        <v>500</v>
      </c>
      <c r="O74" s="22">
        <v>720</v>
      </c>
      <c r="P74" s="22">
        <v>560</v>
      </c>
      <c r="Q74" s="14" t="s">
        <v>408</v>
      </c>
      <c r="R74" s="14" t="s">
        <v>427</v>
      </c>
      <c r="S74" s="14">
        <v>1</v>
      </c>
      <c r="T74" s="14">
        <v>140</v>
      </c>
      <c r="U74" s="14">
        <v>495</v>
      </c>
      <c r="V74" s="14">
        <v>2</v>
      </c>
      <c r="W74" s="14">
        <v>283</v>
      </c>
      <c r="X74" s="14">
        <v>495</v>
      </c>
      <c r="Y74" s="14"/>
      <c r="Z74" s="14"/>
      <c r="AA74" s="14"/>
      <c r="AB74" s="14"/>
      <c r="AC74" s="14"/>
      <c r="AD74" s="14"/>
    </row>
    <row r="75" spans="1:30" x14ac:dyDescent="0.25">
      <c r="A75" s="14" t="s">
        <v>83</v>
      </c>
      <c r="B75" s="99" t="s">
        <v>84</v>
      </c>
      <c r="C75" s="50">
        <v>150</v>
      </c>
      <c r="D75" s="16">
        <v>263.02</v>
      </c>
      <c r="E75" s="16">
        <v>49.1</v>
      </c>
      <c r="F75" s="16"/>
      <c r="G75" s="27">
        <f>D75+E75</f>
        <v>312.12</v>
      </c>
      <c r="H75" s="16"/>
      <c r="I75" s="19"/>
      <c r="J75" s="16"/>
      <c r="K75" s="20"/>
      <c r="L75" s="16"/>
      <c r="M75" s="21"/>
      <c r="N75" s="22">
        <v>600</v>
      </c>
      <c r="O75" s="22">
        <v>720</v>
      </c>
      <c r="P75" s="22">
        <v>560</v>
      </c>
      <c r="Q75" s="14" t="s">
        <v>408</v>
      </c>
      <c r="R75" s="14" t="s">
        <v>427</v>
      </c>
      <c r="S75" s="14">
        <v>1</v>
      </c>
      <c r="T75" s="14">
        <v>140</v>
      </c>
      <c r="U75" s="14">
        <v>595</v>
      </c>
      <c r="V75" s="14">
        <v>2</v>
      </c>
      <c r="W75" s="14">
        <v>283</v>
      </c>
      <c r="X75" s="14">
        <v>595</v>
      </c>
      <c r="Y75" s="14"/>
      <c r="Z75" s="14"/>
      <c r="AA75" s="14"/>
      <c r="AB75" s="14"/>
      <c r="AC75" s="14"/>
      <c r="AD75" s="14"/>
    </row>
    <row r="76" spans="1:30" x14ac:dyDescent="0.25">
      <c r="A76" s="14" t="s">
        <v>85</v>
      </c>
      <c r="B76" s="99" t="s">
        <v>86</v>
      </c>
      <c r="C76" s="50">
        <v>155</v>
      </c>
      <c r="D76" s="16">
        <v>295.83999999999997</v>
      </c>
      <c r="E76" s="16">
        <v>66.28</v>
      </c>
      <c r="F76" s="16"/>
      <c r="G76" s="27">
        <f>D76+E76</f>
        <v>362.12</v>
      </c>
      <c r="H76" s="16" t="s">
        <v>622</v>
      </c>
      <c r="I76" s="19"/>
      <c r="J76" s="16"/>
      <c r="K76" s="20"/>
      <c r="L76" s="16"/>
      <c r="M76" s="21"/>
      <c r="N76" s="22">
        <v>800</v>
      </c>
      <c r="O76" s="22">
        <v>720</v>
      </c>
      <c r="P76" s="22">
        <v>560</v>
      </c>
      <c r="Q76" s="14" t="s">
        <v>408</v>
      </c>
      <c r="R76" s="14" t="s">
        <v>427</v>
      </c>
      <c r="S76" s="14">
        <v>1</v>
      </c>
      <c r="T76" s="14">
        <v>140</v>
      </c>
      <c r="U76" s="14">
        <v>795</v>
      </c>
      <c r="V76" s="14">
        <v>2</v>
      </c>
      <c r="W76" s="14">
        <v>283</v>
      </c>
      <c r="X76" s="14">
        <v>795</v>
      </c>
      <c r="Y76" s="14"/>
      <c r="Z76" s="14"/>
      <c r="AA76" s="14"/>
      <c r="AB76" s="14"/>
      <c r="AC76" s="14"/>
      <c r="AD76" s="14"/>
    </row>
    <row r="77" spans="1:30" x14ac:dyDescent="0.25">
      <c r="A77" s="14" t="s">
        <v>87</v>
      </c>
      <c r="B77" s="99" t="s">
        <v>88</v>
      </c>
      <c r="C77" s="50">
        <v>157</v>
      </c>
      <c r="D77" s="16">
        <v>299.26</v>
      </c>
      <c r="E77" s="16">
        <v>82.22</v>
      </c>
      <c r="F77" s="16"/>
      <c r="G77" s="27">
        <f>D77+E77</f>
        <v>381.48</v>
      </c>
      <c r="H77" s="16"/>
      <c r="I77" s="19"/>
      <c r="J77" s="16"/>
      <c r="K77" s="20"/>
      <c r="L77" s="16"/>
      <c r="M77" s="21"/>
      <c r="N77" s="22">
        <v>1000</v>
      </c>
      <c r="O77" s="22">
        <v>720</v>
      </c>
      <c r="P77" s="22">
        <v>560</v>
      </c>
      <c r="Q77" s="14" t="s">
        <v>408</v>
      </c>
      <c r="R77" s="14" t="s">
        <v>427</v>
      </c>
      <c r="S77" s="14">
        <v>1</v>
      </c>
      <c r="T77" s="14">
        <v>140</v>
      </c>
      <c r="U77" s="14">
        <v>995</v>
      </c>
      <c r="V77" s="14">
        <v>2</v>
      </c>
      <c r="W77" s="14">
        <v>283</v>
      </c>
      <c r="X77" s="14">
        <v>995</v>
      </c>
      <c r="Y77" s="14"/>
      <c r="Z77" s="14"/>
      <c r="AA77" s="14"/>
      <c r="AB77" s="14"/>
      <c r="AC77" s="14"/>
      <c r="AD77" s="14"/>
    </row>
    <row r="78" spans="1:30" x14ac:dyDescent="0.25">
      <c r="A78" s="14"/>
      <c r="B78" s="102"/>
      <c r="C78" s="50"/>
      <c r="D78" s="16"/>
      <c r="E78" s="16"/>
      <c r="F78" s="16"/>
      <c r="G78" s="27"/>
      <c r="H78" s="16"/>
      <c r="I78" s="19"/>
      <c r="J78" s="16"/>
      <c r="K78" s="20"/>
      <c r="L78" s="16"/>
      <c r="M78" s="21"/>
      <c r="N78" s="22"/>
      <c r="O78" s="22"/>
      <c r="P78" s="22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spans="1:30" x14ac:dyDescent="0.25">
      <c r="A79" s="14" t="s">
        <v>89</v>
      </c>
      <c r="B79" s="102" t="s">
        <v>90</v>
      </c>
      <c r="C79" s="50">
        <v>115</v>
      </c>
      <c r="D79" s="16"/>
      <c r="E79" s="16">
        <v>34.020000000000003</v>
      </c>
      <c r="F79" s="16"/>
      <c r="G79" s="27">
        <f>D79+E79</f>
        <v>34.020000000000003</v>
      </c>
      <c r="H79" s="16"/>
      <c r="I79" s="19"/>
      <c r="J79" s="16"/>
      <c r="K79" s="20"/>
      <c r="L79" s="16"/>
      <c r="M79" s="21"/>
      <c r="N79" s="22">
        <v>300</v>
      </c>
      <c r="O79" s="22">
        <v>720</v>
      </c>
      <c r="P79" s="22">
        <v>560</v>
      </c>
      <c r="Q79" s="14" t="s">
        <v>408</v>
      </c>
      <c r="R79" s="14" t="s">
        <v>427</v>
      </c>
      <c r="S79" s="14">
        <v>2</v>
      </c>
      <c r="T79" s="14">
        <v>355</v>
      </c>
      <c r="U79" s="14">
        <v>295</v>
      </c>
      <c r="V79" s="14"/>
      <c r="W79" s="14"/>
      <c r="X79" s="14"/>
      <c r="Y79" s="14"/>
      <c r="Z79" s="14"/>
      <c r="AA79" s="14"/>
      <c r="AB79" s="14"/>
      <c r="AC79" s="14"/>
      <c r="AD79" s="14"/>
    </row>
    <row r="80" spans="1:30" x14ac:dyDescent="0.25">
      <c r="A80" s="14" t="s">
        <v>91</v>
      </c>
      <c r="B80" s="102" t="s">
        <v>92</v>
      </c>
      <c r="C80" s="50">
        <v>118</v>
      </c>
      <c r="D80" s="16"/>
      <c r="E80" s="16">
        <v>44.4</v>
      </c>
      <c r="F80" s="16"/>
      <c r="G80" s="27">
        <f>D80+E80</f>
        <v>44.4</v>
      </c>
      <c r="H80" s="16"/>
      <c r="I80" s="19"/>
      <c r="J80" s="16"/>
      <c r="K80" s="20"/>
      <c r="L80" s="16"/>
      <c r="M80" s="21"/>
      <c r="N80" s="22">
        <v>500</v>
      </c>
      <c r="O80" s="22">
        <v>720</v>
      </c>
      <c r="P80" s="22">
        <v>560</v>
      </c>
      <c r="Q80" s="14" t="s">
        <v>408</v>
      </c>
      <c r="R80" s="14" t="s">
        <v>427</v>
      </c>
      <c r="S80" s="14">
        <v>2</v>
      </c>
      <c r="T80" s="14">
        <v>355</v>
      </c>
      <c r="U80" s="14">
        <v>495</v>
      </c>
      <c r="V80" s="14"/>
      <c r="W80" s="14"/>
      <c r="X80" s="14"/>
      <c r="Y80" s="14"/>
      <c r="Z80" s="14"/>
      <c r="AA80" s="14"/>
      <c r="AB80" s="14"/>
      <c r="AC80" s="14"/>
      <c r="AD80" s="14"/>
    </row>
    <row r="81" spans="1:30" x14ac:dyDescent="0.25">
      <c r="A81" s="14" t="s">
        <v>93</v>
      </c>
      <c r="B81" s="102" t="s">
        <v>94</v>
      </c>
      <c r="C81" s="50">
        <v>119</v>
      </c>
      <c r="D81" s="16"/>
      <c r="E81" s="16">
        <v>45.8</v>
      </c>
      <c r="F81" s="16"/>
      <c r="G81" s="27">
        <f>D81+E81</f>
        <v>45.8</v>
      </c>
      <c r="H81" s="16"/>
      <c r="I81" s="19"/>
      <c r="J81" s="16"/>
      <c r="K81" s="20"/>
      <c r="L81" s="16"/>
      <c r="M81" s="21"/>
      <c r="N81" s="22">
        <v>600</v>
      </c>
      <c r="O81" s="22">
        <v>720</v>
      </c>
      <c r="P81" s="22">
        <v>560</v>
      </c>
      <c r="Q81" s="14" t="s">
        <v>408</v>
      </c>
      <c r="R81" s="14" t="s">
        <v>427</v>
      </c>
      <c r="S81" s="14">
        <v>2</v>
      </c>
      <c r="T81" s="14">
        <v>355</v>
      </c>
      <c r="U81" s="14">
        <v>595</v>
      </c>
      <c r="V81" s="14"/>
      <c r="W81" s="14"/>
      <c r="X81" s="14"/>
      <c r="Y81" s="14"/>
      <c r="Z81" s="14"/>
      <c r="AA81" s="14"/>
      <c r="AB81" s="14"/>
      <c r="AC81" s="14"/>
      <c r="AD81" s="14"/>
    </row>
    <row r="82" spans="1:30" x14ac:dyDescent="0.25">
      <c r="A82" s="14" t="s">
        <v>95</v>
      </c>
      <c r="B82" s="102" t="s">
        <v>96</v>
      </c>
      <c r="C82" s="50">
        <v>124</v>
      </c>
      <c r="D82" s="16"/>
      <c r="E82" s="16">
        <v>62.4</v>
      </c>
      <c r="F82" s="16"/>
      <c r="G82" s="27">
        <f>D82+E82</f>
        <v>62.4</v>
      </c>
      <c r="H82" s="16"/>
      <c r="I82" s="19"/>
      <c r="J82" s="16"/>
      <c r="K82" s="20"/>
      <c r="L82" s="16"/>
      <c r="M82" s="21"/>
      <c r="N82" s="22">
        <v>800</v>
      </c>
      <c r="O82" s="22">
        <v>720</v>
      </c>
      <c r="P82" s="22">
        <v>560</v>
      </c>
      <c r="Q82" s="14" t="s">
        <v>408</v>
      </c>
      <c r="R82" s="14" t="s">
        <v>427</v>
      </c>
      <c r="S82" s="14">
        <v>2</v>
      </c>
      <c r="T82" s="14">
        <v>355</v>
      </c>
      <c r="U82" s="14">
        <v>795</v>
      </c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x14ac:dyDescent="0.25">
      <c r="A83" s="14" t="s">
        <v>97</v>
      </c>
      <c r="B83" s="102" t="s">
        <v>98</v>
      </c>
      <c r="C83" s="50">
        <v>126</v>
      </c>
      <c r="D83" s="16"/>
      <c r="E83" s="16">
        <v>78.040000000000006</v>
      </c>
      <c r="F83" s="16"/>
      <c r="G83" s="27">
        <f>D83+E83</f>
        <v>78.040000000000006</v>
      </c>
      <c r="H83" s="16"/>
      <c r="I83" s="19"/>
      <c r="J83" s="16"/>
      <c r="K83" s="20"/>
      <c r="L83" s="16"/>
      <c r="M83" s="21"/>
      <c r="N83" s="22">
        <v>1000</v>
      </c>
      <c r="O83" s="22">
        <v>720</v>
      </c>
      <c r="P83" s="22">
        <v>560</v>
      </c>
      <c r="Q83" s="14" t="s">
        <v>408</v>
      </c>
      <c r="R83" s="14" t="s">
        <v>427</v>
      </c>
      <c r="S83" s="14">
        <v>2</v>
      </c>
      <c r="T83" s="14">
        <v>355</v>
      </c>
      <c r="U83" s="14">
        <v>995</v>
      </c>
      <c r="V83" s="14"/>
      <c r="W83" s="14"/>
      <c r="X83" s="14"/>
      <c r="Y83" s="14"/>
      <c r="Z83" s="14"/>
      <c r="AA83" s="14"/>
      <c r="AB83" s="14"/>
      <c r="AC83" s="14"/>
      <c r="AD83" s="14"/>
    </row>
    <row r="84" spans="1:30" x14ac:dyDescent="0.25">
      <c r="A84" s="14"/>
      <c r="B84" s="25" t="s">
        <v>19</v>
      </c>
      <c r="C84" s="50"/>
      <c r="D84" s="16"/>
      <c r="E84" s="16"/>
      <c r="F84" s="16"/>
      <c r="G84" s="27"/>
      <c r="H84" s="16"/>
      <c r="I84" s="19"/>
      <c r="J84" s="16"/>
      <c r="K84" s="20"/>
      <c r="L84" s="16"/>
      <c r="M84" s="21"/>
      <c r="N84" s="22"/>
      <c r="O84" s="22"/>
      <c r="P84" s="22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1:30" x14ac:dyDescent="0.25">
      <c r="A85" s="14"/>
      <c r="B85" s="25" t="s">
        <v>20</v>
      </c>
      <c r="C85" s="50"/>
      <c r="D85" s="16"/>
      <c r="E85" s="16"/>
      <c r="F85" s="16"/>
      <c r="G85" s="27"/>
      <c r="H85" s="16"/>
      <c r="I85" s="19"/>
      <c r="J85" s="16"/>
      <c r="K85" s="20"/>
      <c r="L85" s="16"/>
      <c r="M85" s="21"/>
      <c r="N85" s="22"/>
      <c r="O85" s="22"/>
      <c r="P85" s="22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spans="1:30" x14ac:dyDescent="0.25">
      <c r="A86" s="14"/>
      <c r="B86" s="25" t="s">
        <v>99</v>
      </c>
      <c r="C86" s="50"/>
      <c r="D86" s="16"/>
      <c r="E86" s="16"/>
      <c r="F86" s="16"/>
      <c r="G86" s="27"/>
      <c r="H86" s="16"/>
      <c r="I86" s="19"/>
      <c r="J86" s="16"/>
      <c r="K86" s="20"/>
      <c r="L86" s="16"/>
      <c r="M86" s="21"/>
      <c r="N86" s="22"/>
      <c r="O86" s="22"/>
      <c r="P86" s="22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spans="1:30" x14ac:dyDescent="0.25">
      <c r="A87" s="14" t="s">
        <v>100</v>
      </c>
      <c r="B87" s="32" t="s">
        <v>101</v>
      </c>
      <c r="C87" s="50">
        <v>38.5</v>
      </c>
      <c r="D87" s="16">
        <f>PRODUCT(C87,$D$1)</f>
        <v>102.795</v>
      </c>
      <c r="E87" s="16">
        <v>38.44</v>
      </c>
      <c r="F87" s="16"/>
      <c r="G87" s="27">
        <f>D87+E87</f>
        <v>141.23500000000001</v>
      </c>
      <c r="H87" s="16"/>
      <c r="I87" s="19"/>
      <c r="J87" s="16"/>
      <c r="K87" s="20"/>
      <c r="L87" s="16"/>
      <c r="M87" s="21"/>
      <c r="N87" s="22">
        <v>600</v>
      </c>
      <c r="O87" s="22">
        <v>720</v>
      </c>
      <c r="P87" s="22">
        <v>560</v>
      </c>
      <c r="Q87" s="14" t="s">
        <v>408</v>
      </c>
      <c r="R87" s="14" t="s">
        <v>428</v>
      </c>
      <c r="S87" s="14">
        <v>1</v>
      </c>
      <c r="T87" s="14">
        <v>110</v>
      </c>
      <c r="U87" s="14">
        <v>595</v>
      </c>
      <c r="V87" s="14"/>
      <c r="W87" s="14"/>
      <c r="X87" s="14"/>
      <c r="Y87" s="14"/>
      <c r="Z87" s="14"/>
      <c r="AA87" s="14"/>
      <c r="AB87" s="14"/>
      <c r="AC87" s="14"/>
      <c r="AD87" s="14"/>
    </row>
    <row r="88" spans="1:30" x14ac:dyDescent="0.25">
      <c r="A88" s="14" t="s">
        <v>102</v>
      </c>
      <c r="B88" s="99" t="s">
        <v>103</v>
      </c>
      <c r="C88" s="100">
        <v>44</v>
      </c>
      <c r="D88" s="101">
        <f t="shared" ref="D88" si="27">PRODUCT(C88,$D$1)</f>
        <v>117.47999999999999</v>
      </c>
      <c r="E88" s="16"/>
      <c r="F88" s="16"/>
      <c r="G88" s="27">
        <f>D88+E88</f>
        <v>117.47999999999999</v>
      </c>
      <c r="H88" s="16"/>
      <c r="I88" s="19"/>
      <c r="J88" s="16"/>
      <c r="K88" s="20"/>
      <c r="L88" s="16"/>
      <c r="M88" s="21"/>
      <c r="N88" s="22">
        <v>900</v>
      </c>
      <c r="O88" s="22">
        <v>720</v>
      </c>
      <c r="P88" s="22">
        <v>560</v>
      </c>
      <c r="Q88" s="14" t="s">
        <v>408</v>
      </c>
      <c r="R88" s="14" t="s">
        <v>428</v>
      </c>
      <c r="S88" s="14">
        <v>1</v>
      </c>
      <c r="T88" s="14">
        <v>110</v>
      </c>
      <c r="U88" s="14">
        <v>895</v>
      </c>
      <c r="V88" s="14"/>
      <c r="W88" s="14"/>
      <c r="X88" s="14"/>
      <c r="Y88" s="14"/>
      <c r="Z88" s="14"/>
      <c r="AA88" s="14"/>
      <c r="AB88" s="14"/>
      <c r="AC88" s="14"/>
      <c r="AD88" s="14"/>
    </row>
    <row r="89" spans="1:30" x14ac:dyDescent="0.25">
      <c r="A89" s="14"/>
      <c r="B89" s="102"/>
      <c r="C89" s="100"/>
      <c r="D89" s="101"/>
      <c r="E89" s="16"/>
      <c r="F89" s="16"/>
      <c r="G89" s="27"/>
      <c r="H89" s="16"/>
      <c r="I89" s="19"/>
      <c r="J89" s="16"/>
      <c r="K89" s="20"/>
      <c r="L89" s="16"/>
      <c r="M89" s="21"/>
      <c r="N89" s="22"/>
      <c r="O89" s="22"/>
      <c r="P89" s="22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spans="1:30" x14ac:dyDescent="0.25">
      <c r="A90" s="14" t="s">
        <v>104</v>
      </c>
      <c r="B90" s="99" t="s">
        <v>105</v>
      </c>
      <c r="C90" s="100">
        <v>50.6</v>
      </c>
      <c r="D90" s="101">
        <f t="shared" ref="D90:D91" si="28">PRODUCT(C90,$D$1)</f>
        <v>135.102</v>
      </c>
      <c r="E90" s="16"/>
      <c r="F90" s="16"/>
      <c r="G90" s="27">
        <f>D90+E90</f>
        <v>135.102</v>
      </c>
      <c r="H90" s="16"/>
      <c r="I90" s="19"/>
      <c r="J90" s="16"/>
      <c r="K90" s="20"/>
      <c r="L90" s="16"/>
      <c r="M90" s="21"/>
      <c r="N90" s="22">
        <v>600</v>
      </c>
      <c r="O90" s="22">
        <v>720</v>
      </c>
      <c r="P90" s="22">
        <v>560</v>
      </c>
      <c r="Q90" s="14" t="s">
        <v>408</v>
      </c>
      <c r="R90" s="14" t="s">
        <v>428</v>
      </c>
      <c r="S90" s="14">
        <v>1</v>
      </c>
      <c r="T90" s="14">
        <v>110</v>
      </c>
      <c r="U90" s="14">
        <v>595</v>
      </c>
      <c r="V90" s="14"/>
      <c r="W90" s="14"/>
      <c r="X90" s="14"/>
      <c r="Y90" s="14"/>
      <c r="Z90" s="14"/>
      <c r="AA90" s="14"/>
      <c r="AB90" s="14"/>
      <c r="AC90" s="14"/>
      <c r="AD90" s="14"/>
    </row>
    <row r="91" spans="1:30" x14ac:dyDescent="0.25">
      <c r="A91" s="14" t="s">
        <v>106</v>
      </c>
      <c r="B91" s="99" t="s">
        <v>107</v>
      </c>
      <c r="C91" s="100">
        <v>57.2</v>
      </c>
      <c r="D91" s="101">
        <f t="shared" si="28"/>
        <v>152.72399999999999</v>
      </c>
      <c r="E91" s="16"/>
      <c r="F91" s="16"/>
      <c r="G91" s="27">
        <f>D91+E91</f>
        <v>152.72399999999999</v>
      </c>
      <c r="H91" s="16"/>
      <c r="I91" s="19"/>
      <c r="J91" s="16"/>
      <c r="K91" s="20"/>
      <c r="L91" s="16"/>
      <c r="M91" s="21"/>
      <c r="N91" s="22">
        <v>900</v>
      </c>
      <c r="O91" s="22">
        <v>720</v>
      </c>
      <c r="P91" s="22">
        <v>560</v>
      </c>
      <c r="Q91" s="14" t="s">
        <v>408</v>
      </c>
      <c r="R91" s="14" t="s">
        <v>428</v>
      </c>
      <c r="S91" s="14">
        <v>1</v>
      </c>
      <c r="T91" s="14">
        <v>110</v>
      </c>
      <c r="U91" s="14">
        <v>895</v>
      </c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x14ac:dyDescent="0.25">
      <c r="A92" s="14"/>
      <c r="B92" s="102"/>
      <c r="C92" s="100"/>
      <c r="D92" s="101"/>
      <c r="E92" s="16"/>
      <c r="F92" s="16"/>
      <c r="G92" s="27"/>
      <c r="H92" s="16"/>
      <c r="I92" s="19"/>
      <c r="J92" s="16"/>
      <c r="K92" s="20"/>
      <c r="L92" s="16"/>
      <c r="M92" s="21"/>
      <c r="N92" s="22"/>
      <c r="O92" s="22"/>
      <c r="P92" s="22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x14ac:dyDescent="0.25">
      <c r="A93" s="14" t="s">
        <v>108</v>
      </c>
      <c r="B93" s="99" t="s">
        <v>109</v>
      </c>
      <c r="C93" s="100">
        <v>41.8</v>
      </c>
      <c r="D93" s="101">
        <f>PRODUCT(C93,$D$1)</f>
        <v>111.60599999999999</v>
      </c>
      <c r="E93" s="16"/>
      <c r="F93" s="16"/>
      <c r="G93" s="27">
        <f>D93+E93</f>
        <v>111.60599999999999</v>
      </c>
      <c r="H93" s="16"/>
      <c r="I93" s="19"/>
      <c r="J93" s="16"/>
      <c r="K93" s="20"/>
      <c r="L93" s="16"/>
      <c r="M93" s="21"/>
      <c r="N93" s="22">
        <v>600</v>
      </c>
      <c r="O93" s="22">
        <v>720</v>
      </c>
      <c r="P93" s="22">
        <v>560</v>
      </c>
      <c r="Q93" s="14" t="s">
        <v>408</v>
      </c>
      <c r="R93" s="14" t="s">
        <v>428</v>
      </c>
      <c r="S93" s="14">
        <v>1</v>
      </c>
      <c r="T93" s="14">
        <v>265</v>
      </c>
      <c r="U93" s="14">
        <v>595</v>
      </c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x14ac:dyDescent="0.25">
      <c r="A94" s="14"/>
      <c r="B94" s="102"/>
      <c r="C94" s="100"/>
      <c r="D94" s="101"/>
      <c r="E94" s="16"/>
      <c r="F94" s="16"/>
      <c r="G94" s="27"/>
      <c r="H94" s="16"/>
      <c r="I94" s="19"/>
      <c r="J94" s="16"/>
      <c r="K94" s="20"/>
      <c r="L94" s="16"/>
      <c r="M94" s="21"/>
      <c r="N94" s="22"/>
      <c r="O94" s="22"/>
      <c r="P94" s="22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spans="1:30" x14ac:dyDescent="0.25">
      <c r="A95" s="14" t="s">
        <v>108</v>
      </c>
      <c r="B95" s="99" t="s">
        <v>110</v>
      </c>
      <c r="C95" s="100">
        <v>56.1</v>
      </c>
      <c r="D95" s="101">
        <f>PRODUCT(C95,$D$1)</f>
        <v>149.78700000000001</v>
      </c>
      <c r="E95" s="16"/>
      <c r="F95" s="16"/>
      <c r="G95" s="27">
        <f>D95+E95</f>
        <v>149.78700000000001</v>
      </c>
      <c r="H95" s="16"/>
      <c r="I95" s="19"/>
      <c r="J95" s="16"/>
      <c r="K95" s="20"/>
      <c r="L95" s="16"/>
      <c r="M95" s="21"/>
      <c r="N95" s="22">
        <v>900</v>
      </c>
      <c r="O95" s="22">
        <v>720</v>
      </c>
      <c r="P95" s="22">
        <v>560</v>
      </c>
      <c r="Q95" s="14" t="s">
        <v>408</v>
      </c>
      <c r="R95" s="14" t="s">
        <v>428</v>
      </c>
      <c r="S95" s="14">
        <v>1</v>
      </c>
      <c r="T95" s="14">
        <v>265</v>
      </c>
      <c r="U95" s="14">
        <v>895</v>
      </c>
      <c r="V95" s="14"/>
      <c r="W95" s="14"/>
      <c r="X95" s="14"/>
      <c r="Y95" s="14"/>
      <c r="Z95" s="14"/>
      <c r="AA95" s="14"/>
      <c r="AB95" s="14"/>
      <c r="AC95" s="14"/>
      <c r="AD95" s="14"/>
    </row>
    <row r="96" spans="1:30" x14ac:dyDescent="0.25">
      <c r="A96" s="14"/>
      <c r="B96" s="25" t="s">
        <v>111</v>
      </c>
      <c r="C96" s="50"/>
      <c r="D96" s="16"/>
      <c r="E96" s="16"/>
      <c r="F96" s="16"/>
      <c r="G96" s="27"/>
      <c r="H96" s="16"/>
      <c r="I96" s="19"/>
      <c r="J96" s="16"/>
      <c r="K96" s="20"/>
      <c r="L96" s="16"/>
      <c r="M96" s="21"/>
      <c r="N96" s="22"/>
      <c r="O96" s="22"/>
      <c r="P96" s="22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spans="1:30" x14ac:dyDescent="0.25">
      <c r="A97" s="14" t="s">
        <v>112</v>
      </c>
      <c r="B97" s="15" t="s">
        <v>113</v>
      </c>
      <c r="C97" s="50">
        <v>80.3</v>
      </c>
      <c r="D97" s="16">
        <f t="shared" ref="D97:D99" si="29">PRODUCT(C97,$D$1)</f>
        <v>214.40099999999998</v>
      </c>
      <c r="E97" s="16"/>
      <c r="F97" s="16"/>
      <c r="G97" s="27">
        <f>D97+E97</f>
        <v>214.40099999999998</v>
      </c>
      <c r="H97" s="16"/>
      <c r="I97" s="19"/>
      <c r="J97" s="16"/>
      <c r="K97" s="20"/>
      <c r="L97" s="16"/>
      <c r="M97" s="21"/>
      <c r="N97" s="22">
        <v>600</v>
      </c>
      <c r="O97" s="22">
        <v>1970</v>
      </c>
      <c r="P97" s="22">
        <v>560</v>
      </c>
      <c r="Q97" s="14" t="s">
        <v>429</v>
      </c>
      <c r="R97" s="14" t="s">
        <v>428</v>
      </c>
      <c r="S97" s="14">
        <v>1</v>
      </c>
      <c r="T97" s="14">
        <v>110</v>
      </c>
      <c r="U97" s="14">
        <v>595</v>
      </c>
      <c r="V97" s="14">
        <v>1</v>
      </c>
      <c r="W97" s="14">
        <v>720</v>
      </c>
      <c r="X97" s="14">
        <v>595</v>
      </c>
      <c r="Y97" s="14">
        <v>1</v>
      </c>
      <c r="Z97" s="14">
        <v>570</v>
      </c>
      <c r="AA97" s="14">
        <v>595</v>
      </c>
      <c r="AB97" s="14"/>
      <c r="AC97" s="14"/>
      <c r="AD97" s="14"/>
    </row>
    <row r="98" spans="1:30" x14ac:dyDescent="0.25">
      <c r="A98" s="14" t="s">
        <v>114</v>
      </c>
      <c r="B98" s="15" t="s">
        <v>115</v>
      </c>
      <c r="C98" s="50">
        <v>80.3</v>
      </c>
      <c r="D98" s="16">
        <f t="shared" si="29"/>
        <v>214.40099999999998</v>
      </c>
      <c r="E98" s="16"/>
      <c r="F98" s="16"/>
      <c r="G98" s="27">
        <f>D98+E98</f>
        <v>214.40099999999998</v>
      </c>
      <c r="H98" s="16"/>
      <c r="I98" s="19"/>
      <c r="J98" s="16"/>
      <c r="K98" s="20"/>
      <c r="L98" s="16"/>
      <c r="M98" s="21"/>
      <c r="N98" s="22">
        <v>600</v>
      </c>
      <c r="O98" s="22">
        <v>1970</v>
      </c>
      <c r="P98" s="22">
        <v>560</v>
      </c>
      <c r="Q98" s="14" t="s">
        <v>429</v>
      </c>
      <c r="R98" s="14" t="s">
        <v>428</v>
      </c>
      <c r="S98" s="14">
        <v>1</v>
      </c>
      <c r="T98" s="14">
        <v>110</v>
      </c>
      <c r="U98" s="14">
        <v>595</v>
      </c>
      <c r="V98" s="14">
        <v>1</v>
      </c>
      <c r="W98" s="14">
        <v>490</v>
      </c>
      <c r="X98" s="14">
        <v>595</v>
      </c>
      <c r="Y98" s="14">
        <v>1</v>
      </c>
      <c r="Z98" s="14">
        <v>570</v>
      </c>
      <c r="AA98" s="14">
        <v>595</v>
      </c>
      <c r="AB98" s="14"/>
      <c r="AC98" s="14"/>
      <c r="AD98" s="14"/>
    </row>
    <row r="99" spans="1:30" x14ac:dyDescent="0.25">
      <c r="A99" s="14" t="s">
        <v>116</v>
      </c>
      <c r="B99" s="15" t="s">
        <v>117</v>
      </c>
      <c r="C99" s="50">
        <v>83.6</v>
      </c>
      <c r="D99" s="16">
        <f t="shared" si="29"/>
        <v>223.21199999999999</v>
      </c>
      <c r="E99" s="16"/>
      <c r="F99" s="16"/>
      <c r="G99" s="27">
        <f>D99+E99</f>
        <v>223.21199999999999</v>
      </c>
      <c r="H99" s="16"/>
      <c r="I99" s="19"/>
      <c r="J99" s="16"/>
      <c r="K99" s="20"/>
      <c r="L99" s="16"/>
      <c r="M99" s="21"/>
      <c r="N99" s="22">
        <v>600</v>
      </c>
      <c r="O99" s="22">
        <v>1970</v>
      </c>
      <c r="P99" s="22">
        <v>560</v>
      </c>
      <c r="Q99" s="14" t="s">
        <v>429</v>
      </c>
      <c r="R99" s="14" t="s">
        <v>428</v>
      </c>
      <c r="S99" s="14">
        <v>1</v>
      </c>
      <c r="T99" s="14">
        <v>110</v>
      </c>
      <c r="U99" s="14">
        <v>595</v>
      </c>
      <c r="V99" s="14">
        <v>1</v>
      </c>
      <c r="W99" s="14">
        <v>450</v>
      </c>
      <c r="X99" s="14">
        <v>595</v>
      </c>
      <c r="Y99" s="14">
        <v>1</v>
      </c>
      <c r="Z99" s="14">
        <v>450</v>
      </c>
      <c r="AA99" s="14">
        <v>595</v>
      </c>
      <c r="AB99" s="14"/>
      <c r="AC99" s="14"/>
      <c r="AD99" s="14"/>
    </row>
    <row r="100" spans="1:30" x14ac:dyDescent="0.25">
      <c r="A100" s="14"/>
      <c r="B100" s="15"/>
      <c r="C100" s="50"/>
      <c r="D100" s="16"/>
      <c r="E100" s="16"/>
      <c r="F100" s="16"/>
      <c r="G100" s="27"/>
      <c r="H100" s="16"/>
      <c r="I100" s="19"/>
      <c r="J100" s="16"/>
      <c r="K100" s="20"/>
      <c r="L100" s="16"/>
      <c r="M100" s="21"/>
      <c r="N100" s="22"/>
      <c r="O100" s="22"/>
      <c r="P100" s="22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spans="1:30" x14ac:dyDescent="0.25">
      <c r="A101" s="14" t="s">
        <v>118</v>
      </c>
      <c r="B101" s="15" t="s">
        <v>119</v>
      </c>
      <c r="C101" s="50">
        <v>83.6</v>
      </c>
      <c r="D101" s="16">
        <f t="shared" ref="D101:D103" si="30">PRODUCT(C101,$D$1)</f>
        <v>223.21199999999999</v>
      </c>
      <c r="E101" s="16"/>
      <c r="F101" s="16"/>
      <c r="G101" s="27">
        <f t="shared" ref="G101:G136" si="31">D101+E101</f>
        <v>223.21199999999999</v>
      </c>
      <c r="H101" s="16"/>
      <c r="I101" s="19"/>
      <c r="J101" s="16"/>
      <c r="K101" s="20"/>
      <c r="L101" s="16"/>
      <c r="M101" s="21"/>
      <c r="N101" s="22">
        <v>600</v>
      </c>
      <c r="O101" s="22">
        <v>2150</v>
      </c>
      <c r="P101" s="22">
        <v>560</v>
      </c>
      <c r="Q101" s="14" t="s">
        <v>429</v>
      </c>
      <c r="R101" s="14" t="s">
        <v>428</v>
      </c>
      <c r="S101" s="14">
        <v>1</v>
      </c>
      <c r="T101" s="14">
        <v>110</v>
      </c>
      <c r="U101" s="14">
        <v>595</v>
      </c>
      <c r="V101" s="14">
        <v>1</v>
      </c>
      <c r="W101" s="14">
        <v>720</v>
      </c>
      <c r="X101" s="14">
        <v>595</v>
      </c>
      <c r="Y101" s="14">
        <v>1</v>
      </c>
      <c r="Z101" s="14">
        <v>720</v>
      </c>
      <c r="AA101" s="14">
        <v>595</v>
      </c>
      <c r="AB101" s="14"/>
      <c r="AC101" s="14"/>
      <c r="AD101" s="14"/>
    </row>
    <row r="102" spans="1:30" x14ac:dyDescent="0.25">
      <c r="A102" s="14" t="s">
        <v>120</v>
      </c>
      <c r="B102" s="15" t="s">
        <v>121</v>
      </c>
      <c r="C102" s="50">
        <v>83.6</v>
      </c>
      <c r="D102" s="16">
        <f t="shared" si="30"/>
        <v>223.21199999999999</v>
      </c>
      <c r="E102" s="16"/>
      <c r="F102" s="16"/>
      <c r="G102" s="27">
        <f t="shared" si="31"/>
        <v>223.21199999999999</v>
      </c>
      <c r="H102" s="16"/>
      <c r="I102" s="19"/>
      <c r="J102" s="16"/>
      <c r="K102" s="20"/>
      <c r="L102" s="16"/>
      <c r="M102" s="21"/>
      <c r="N102" s="22">
        <v>600</v>
      </c>
      <c r="O102" s="22">
        <v>2150</v>
      </c>
      <c r="P102" s="22">
        <v>560</v>
      </c>
      <c r="Q102" s="14" t="s">
        <v>429</v>
      </c>
      <c r="R102" s="14" t="s">
        <v>428</v>
      </c>
      <c r="S102" s="14">
        <v>1</v>
      </c>
      <c r="T102" s="14">
        <v>110</v>
      </c>
      <c r="U102" s="14">
        <v>595</v>
      </c>
      <c r="V102" s="14">
        <v>1</v>
      </c>
      <c r="W102" s="14">
        <v>490</v>
      </c>
      <c r="X102" s="14">
        <v>595</v>
      </c>
      <c r="Y102" s="14">
        <v>1</v>
      </c>
      <c r="Z102" s="14">
        <v>720</v>
      </c>
      <c r="AA102" s="14">
        <v>595</v>
      </c>
      <c r="AB102" s="14"/>
      <c r="AC102" s="14"/>
      <c r="AD102" s="14"/>
    </row>
    <row r="103" spans="1:30" x14ac:dyDescent="0.25">
      <c r="A103" s="14" t="s">
        <v>122</v>
      </c>
      <c r="B103" s="15" t="s">
        <v>123</v>
      </c>
      <c r="C103" s="50">
        <v>84.6</v>
      </c>
      <c r="D103" s="16">
        <f t="shared" si="30"/>
        <v>225.88199999999998</v>
      </c>
      <c r="E103" s="16"/>
      <c r="F103" s="16"/>
      <c r="G103" s="27">
        <f t="shared" si="31"/>
        <v>225.88199999999998</v>
      </c>
      <c r="H103" s="16"/>
      <c r="I103" s="19"/>
      <c r="J103" s="16"/>
      <c r="K103" s="20"/>
      <c r="L103" s="16"/>
      <c r="M103" s="21"/>
      <c r="N103" s="22">
        <v>600</v>
      </c>
      <c r="O103" s="22">
        <v>2150</v>
      </c>
      <c r="P103" s="22">
        <v>560</v>
      </c>
      <c r="Q103" s="14" t="s">
        <v>429</v>
      </c>
      <c r="R103" s="14" t="s">
        <v>428</v>
      </c>
      <c r="S103" s="14">
        <v>1</v>
      </c>
      <c r="T103" s="14">
        <v>110</v>
      </c>
      <c r="U103" s="14">
        <v>595</v>
      </c>
      <c r="V103" s="14">
        <v>1</v>
      </c>
      <c r="W103" s="14">
        <v>450</v>
      </c>
      <c r="X103" s="14">
        <v>595</v>
      </c>
      <c r="Y103" s="14">
        <v>1</v>
      </c>
      <c r="Z103" s="14">
        <v>570</v>
      </c>
      <c r="AA103" s="14">
        <v>595</v>
      </c>
      <c r="AB103" s="14"/>
      <c r="AC103" s="14"/>
      <c r="AD103" s="14"/>
    </row>
    <row r="104" spans="1:30" x14ac:dyDescent="0.25">
      <c r="A104" s="14" t="s">
        <v>471</v>
      </c>
      <c r="B104" s="15" t="s">
        <v>492</v>
      </c>
      <c r="C104" s="50">
        <v>160</v>
      </c>
      <c r="D104" s="16">
        <f t="shared" ref="D104:D106" si="32">PRODUCT(C104,$D$1)</f>
        <v>427.2</v>
      </c>
      <c r="E104" s="16"/>
      <c r="F104" s="16"/>
      <c r="G104" s="27">
        <f t="shared" si="31"/>
        <v>427.2</v>
      </c>
      <c r="H104" s="16"/>
      <c r="I104" s="19"/>
      <c r="J104" s="16"/>
      <c r="K104" s="20"/>
      <c r="L104" s="16"/>
      <c r="M104" s="21"/>
      <c r="N104" s="22">
        <v>600</v>
      </c>
      <c r="O104" s="22">
        <v>1970</v>
      </c>
      <c r="P104" s="22">
        <v>560</v>
      </c>
      <c r="Q104" s="14" t="s">
        <v>429</v>
      </c>
      <c r="R104" s="14" t="s">
        <v>428</v>
      </c>
      <c r="S104" s="14">
        <v>1</v>
      </c>
      <c r="T104" s="14">
        <v>110</v>
      </c>
      <c r="U104" s="14">
        <v>595</v>
      </c>
      <c r="V104" s="14">
        <v>2</v>
      </c>
      <c r="W104" s="14">
        <v>355</v>
      </c>
      <c r="X104" s="14">
        <v>595</v>
      </c>
      <c r="Y104" s="14">
        <v>1</v>
      </c>
      <c r="Z104" s="14">
        <v>570</v>
      </c>
      <c r="AA104" s="14">
        <v>595</v>
      </c>
      <c r="AB104" s="14"/>
      <c r="AC104" s="14"/>
      <c r="AD104" s="14"/>
    </row>
    <row r="105" spans="1:30" x14ac:dyDescent="0.25">
      <c r="A105" s="14" t="s">
        <v>438</v>
      </c>
      <c r="B105" s="15" t="s">
        <v>493</v>
      </c>
      <c r="C105" s="50">
        <v>150</v>
      </c>
      <c r="D105" s="16">
        <f t="shared" si="32"/>
        <v>400.5</v>
      </c>
      <c r="E105" s="16"/>
      <c r="F105" s="16"/>
      <c r="G105" s="27">
        <f t="shared" si="31"/>
        <v>400.5</v>
      </c>
      <c r="H105" s="16"/>
      <c r="I105" s="19"/>
      <c r="J105" s="16"/>
      <c r="K105" s="20"/>
      <c r="L105" s="16"/>
      <c r="M105" s="21"/>
      <c r="N105" s="22">
        <v>600</v>
      </c>
      <c r="O105" s="22">
        <v>1970</v>
      </c>
      <c r="P105" s="22">
        <v>560</v>
      </c>
      <c r="Q105" s="14" t="s">
        <v>429</v>
      </c>
      <c r="R105" s="14" t="s">
        <v>428</v>
      </c>
      <c r="S105" s="14">
        <v>1</v>
      </c>
      <c r="T105" s="14">
        <v>110</v>
      </c>
      <c r="U105" s="14">
        <v>595</v>
      </c>
      <c r="V105" s="14">
        <v>1</v>
      </c>
      <c r="W105" s="14">
        <v>283</v>
      </c>
      <c r="X105" s="14">
        <v>595</v>
      </c>
      <c r="Y105" s="14">
        <v>1</v>
      </c>
      <c r="Z105" s="14">
        <v>140</v>
      </c>
      <c r="AA105" s="14">
        <v>595</v>
      </c>
      <c r="AB105" s="14">
        <v>1</v>
      </c>
      <c r="AC105" s="14">
        <v>570</v>
      </c>
      <c r="AD105" s="14">
        <v>595</v>
      </c>
    </row>
    <row r="106" spans="1:30" x14ac:dyDescent="0.25">
      <c r="A106" s="14" t="s">
        <v>439</v>
      </c>
      <c r="B106" s="15" t="s">
        <v>494</v>
      </c>
      <c r="C106" s="50">
        <v>153</v>
      </c>
      <c r="D106" s="16">
        <f t="shared" si="32"/>
        <v>408.51</v>
      </c>
      <c r="E106" s="16"/>
      <c r="F106" s="16"/>
      <c r="G106" s="27">
        <f t="shared" si="31"/>
        <v>408.51</v>
      </c>
      <c r="H106" s="16"/>
      <c r="I106" s="19"/>
      <c r="J106" s="16"/>
      <c r="K106" s="20"/>
      <c r="L106" s="16"/>
      <c r="M106" s="21"/>
      <c r="N106" s="22">
        <v>600</v>
      </c>
      <c r="O106" s="22">
        <v>1970</v>
      </c>
      <c r="P106" s="22">
        <v>560</v>
      </c>
      <c r="Q106" s="14" t="s">
        <v>429</v>
      </c>
      <c r="R106" s="14" t="s">
        <v>428</v>
      </c>
      <c r="S106" s="14">
        <v>1</v>
      </c>
      <c r="T106" s="14">
        <v>283</v>
      </c>
      <c r="U106" s="14">
        <v>595</v>
      </c>
      <c r="V106" s="14">
        <v>1</v>
      </c>
      <c r="W106" s="14">
        <v>140</v>
      </c>
      <c r="X106" s="14">
        <v>595</v>
      </c>
      <c r="Y106" s="14">
        <v>1</v>
      </c>
      <c r="Z106" s="14">
        <v>490</v>
      </c>
      <c r="AA106" s="14">
        <v>595</v>
      </c>
      <c r="AB106" s="14">
        <v>1</v>
      </c>
      <c r="AC106" s="14">
        <v>110</v>
      </c>
      <c r="AD106" s="14">
        <v>595</v>
      </c>
    </row>
    <row r="107" spans="1:30" x14ac:dyDescent="0.25">
      <c r="A107" s="14" t="s">
        <v>472</v>
      </c>
      <c r="B107" s="15" t="s">
        <v>495</v>
      </c>
      <c r="C107" s="50">
        <v>153.6</v>
      </c>
      <c r="D107" s="16">
        <f t="shared" ref="D107:D109" si="33">PRODUCT(C107,$D$1)</f>
        <v>410.11199999999997</v>
      </c>
      <c r="E107" s="16"/>
      <c r="F107" s="16"/>
      <c r="G107" s="27">
        <f t="shared" si="31"/>
        <v>410.11199999999997</v>
      </c>
      <c r="H107" s="16"/>
      <c r="I107" s="19"/>
      <c r="J107" s="16"/>
      <c r="K107" s="20"/>
      <c r="L107" s="16"/>
      <c r="M107" s="21"/>
      <c r="N107" s="22">
        <v>600</v>
      </c>
      <c r="O107" s="22">
        <v>2150</v>
      </c>
      <c r="P107" s="22">
        <v>560</v>
      </c>
      <c r="Q107" s="14" t="s">
        <v>429</v>
      </c>
      <c r="R107" s="14" t="s">
        <v>428</v>
      </c>
      <c r="S107" s="14">
        <v>1</v>
      </c>
      <c r="T107" s="14">
        <v>110</v>
      </c>
      <c r="U107" s="14">
        <v>595</v>
      </c>
      <c r="V107" s="14">
        <v>2</v>
      </c>
      <c r="W107" s="14">
        <v>355</v>
      </c>
      <c r="X107" s="14">
        <v>595</v>
      </c>
      <c r="Y107" s="14">
        <v>1</v>
      </c>
      <c r="Z107" s="14">
        <v>720</v>
      </c>
      <c r="AA107" s="14">
        <v>595</v>
      </c>
      <c r="AB107" s="14"/>
      <c r="AC107" s="14"/>
      <c r="AD107" s="14"/>
    </row>
    <row r="108" spans="1:30" x14ac:dyDescent="0.25">
      <c r="A108" s="14" t="s">
        <v>440</v>
      </c>
      <c r="B108" s="15" t="s">
        <v>496</v>
      </c>
      <c r="C108" s="50">
        <v>153.6</v>
      </c>
      <c r="D108" s="16">
        <f t="shared" si="33"/>
        <v>410.11199999999997</v>
      </c>
      <c r="E108" s="16"/>
      <c r="F108" s="16"/>
      <c r="G108" s="27">
        <f t="shared" si="31"/>
        <v>410.11199999999997</v>
      </c>
      <c r="H108" s="16"/>
      <c r="I108" s="19"/>
      <c r="J108" s="16"/>
      <c r="K108" s="20"/>
      <c r="L108" s="16"/>
      <c r="M108" s="21"/>
      <c r="N108" s="22">
        <v>600</v>
      </c>
      <c r="O108" s="22">
        <v>2150</v>
      </c>
      <c r="P108" s="22">
        <v>560</v>
      </c>
      <c r="Q108" s="14" t="s">
        <v>429</v>
      </c>
      <c r="R108" s="14" t="s">
        <v>428</v>
      </c>
      <c r="S108" s="14">
        <v>1</v>
      </c>
      <c r="T108" s="14">
        <v>110</v>
      </c>
      <c r="U108" s="14">
        <v>595</v>
      </c>
      <c r="V108" s="14">
        <v>1</v>
      </c>
      <c r="W108" s="14">
        <v>140</v>
      </c>
      <c r="X108" s="14">
        <v>595</v>
      </c>
      <c r="Y108" s="14">
        <v>1</v>
      </c>
      <c r="Z108" s="14">
        <v>283</v>
      </c>
      <c r="AA108" s="14">
        <v>595</v>
      </c>
      <c r="AB108" s="14">
        <v>1</v>
      </c>
      <c r="AC108" s="14">
        <v>720</v>
      </c>
      <c r="AD108" s="14">
        <v>595</v>
      </c>
    </row>
    <row r="109" spans="1:30" x14ac:dyDescent="0.25">
      <c r="A109" s="14" t="s">
        <v>441</v>
      </c>
      <c r="B109" s="15" t="s">
        <v>497</v>
      </c>
      <c r="C109" s="50">
        <v>154.6</v>
      </c>
      <c r="D109" s="16">
        <f t="shared" si="33"/>
        <v>412.78199999999998</v>
      </c>
      <c r="E109" s="16"/>
      <c r="F109" s="16"/>
      <c r="G109" s="27">
        <f t="shared" si="31"/>
        <v>412.78199999999998</v>
      </c>
      <c r="H109" s="16"/>
      <c r="I109" s="19"/>
      <c r="J109" s="16"/>
      <c r="K109" s="20"/>
      <c r="L109" s="16"/>
      <c r="M109" s="21"/>
      <c r="N109" s="22">
        <v>600</v>
      </c>
      <c r="O109" s="22">
        <v>2150</v>
      </c>
      <c r="P109" s="22">
        <v>560</v>
      </c>
      <c r="Q109" s="14" t="s">
        <v>429</v>
      </c>
      <c r="R109" s="14" t="s">
        <v>428</v>
      </c>
      <c r="S109" s="14">
        <v>1</v>
      </c>
      <c r="T109" s="14">
        <v>110</v>
      </c>
      <c r="U109" s="14">
        <v>595</v>
      </c>
      <c r="V109" s="14">
        <v>1</v>
      </c>
      <c r="W109" s="14">
        <v>140</v>
      </c>
      <c r="X109" s="14">
        <v>595</v>
      </c>
      <c r="Y109" s="14">
        <v>1</v>
      </c>
      <c r="Z109" s="14">
        <v>283</v>
      </c>
      <c r="AA109" s="14">
        <v>595</v>
      </c>
      <c r="AB109" s="14">
        <v>1</v>
      </c>
      <c r="AC109" s="14">
        <v>570</v>
      </c>
      <c r="AD109" s="14">
        <v>595</v>
      </c>
    </row>
    <row r="110" spans="1:30" x14ac:dyDescent="0.25">
      <c r="A110" s="14" t="s">
        <v>124</v>
      </c>
      <c r="B110" s="15" t="s">
        <v>125</v>
      </c>
      <c r="C110" s="50">
        <v>79.2</v>
      </c>
      <c r="D110" s="16">
        <f t="shared" ref="D110:D111" si="34">PRODUCT(C110,$D$1)</f>
        <v>211.464</v>
      </c>
      <c r="E110" s="16"/>
      <c r="F110" s="16"/>
      <c r="G110" s="27">
        <f t="shared" si="31"/>
        <v>211.464</v>
      </c>
      <c r="H110" s="16"/>
      <c r="I110" s="19"/>
      <c r="J110" s="16"/>
      <c r="K110" s="20"/>
      <c r="L110" s="16"/>
      <c r="M110" s="21"/>
      <c r="N110" s="22">
        <v>600</v>
      </c>
      <c r="O110" s="22">
        <v>1970</v>
      </c>
      <c r="P110" s="22">
        <v>560</v>
      </c>
      <c r="Q110" s="14" t="s">
        <v>429</v>
      </c>
      <c r="R110" s="14" t="s">
        <v>428</v>
      </c>
      <c r="S110" s="14">
        <v>1</v>
      </c>
      <c r="T110" s="14">
        <v>895</v>
      </c>
      <c r="U110" s="14">
        <v>595</v>
      </c>
      <c r="V110" s="14">
        <v>1</v>
      </c>
      <c r="W110" s="14">
        <v>1245</v>
      </c>
      <c r="X110" s="14">
        <v>595</v>
      </c>
      <c r="Y110" s="14"/>
      <c r="Z110" s="14"/>
      <c r="AA110" s="14"/>
      <c r="AB110" s="14"/>
      <c r="AC110" s="14"/>
      <c r="AD110" s="14"/>
    </row>
    <row r="111" spans="1:30" x14ac:dyDescent="0.25">
      <c r="A111" s="14" t="s">
        <v>126</v>
      </c>
      <c r="B111" s="15" t="s">
        <v>127</v>
      </c>
      <c r="C111" s="50">
        <v>81.400000000000006</v>
      </c>
      <c r="D111" s="16">
        <f t="shared" si="34"/>
        <v>217.33800000000002</v>
      </c>
      <c r="E111" s="16"/>
      <c r="F111" s="16"/>
      <c r="G111" s="27">
        <f t="shared" si="31"/>
        <v>217.33800000000002</v>
      </c>
      <c r="H111" s="16"/>
      <c r="I111" s="19"/>
      <c r="J111" s="16"/>
      <c r="K111" s="20"/>
      <c r="L111" s="16"/>
      <c r="M111" s="21"/>
      <c r="N111" s="22">
        <v>600</v>
      </c>
      <c r="O111" s="22">
        <v>2150</v>
      </c>
      <c r="P111" s="22">
        <v>560</v>
      </c>
      <c r="Q111" s="14" t="s">
        <v>429</v>
      </c>
      <c r="R111" s="14" t="s">
        <v>428</v>
      </c>
      <c r="S111" s="14">
        <v>1</v>
      </c>
      <c r="T111" s="14">
        <v>895</v>
      </c>
      <c r="U111" s="14">
        <v>595</v>
      </c>
      <c r="V111" s="14">
        <v>1</v>
      </c>
      <c r="W111" s="14">
        <v>1245</v>
      </c>
      <c r="X111" s="14">
        <v>595</v>
      </c>
      <c r="Y111" s="14"/>
      <c r="Z111" s="14"/>
      <c r="AA111" s="14"/>
      <c r="AB111" s="14"/>
      <c r="AC111" s="14"/>
      <c r="AD111" s="14"/>
    </row>
    <row r="112" spans="1:30" x14ac:dyDescent="0.25">
      <c r="A112" s="14" t="s">
        <v>444</v>
      </c>
      <c r="B112" s="15" t="s">
        <v>128</v>
      </c>
      <c r="C112" s="50">
        <v>80.3</v>
      </c>
      <c r="D112" s="16">
        <f t="shared" ref="D112:D116" si="35">PRODUCT(C112,$D$1)</f>
        <v>214.40099999999998</v>
      </c>
      <c r="E112" s="16"/>
      <c r="F112" s="16"/>
      <c r="G112" s="27">
        <f t="shared" si="31"/>
        <v>214.40099999999998</v>
      </c>
      <c r="H112" s="16"/>
      <c r="I112" s="19"/>
      <c r="J112" s="16"/>
      <c r="K112" s="20"/>
      <c r="L112" s="16"/>
      <c r="M112" s="21"/>
      <c r="N112" s="22">
        <v>300</v>
      </c>
      <c r="O112" s="22">
        <v>1970</v>
      </c>
      <c r="P112" s="22">
        <v>560</v>
      </c>
      <c r="Q112" s="14" t="s">
        <v>429</v>
      </c>
      <c r="R112" s="14" t="s">
        <v>430</v>
      </c>
      <c r="S112" s="14">
        <v>1</v>
      </c>
      <c r="T112" s="14">
        <v>715</v>
      </c>
      <c r="U112" s="14">
        <v>295</v>
      </c>
      <c r="V112" s="14">
        <v>1</v>
      </c>
      <c r="W112" s="14">
        <v>1245</v>
      </c>
      <c r="X112" s="14">
        <v>295</v>
      </c>
      <c r="Y112" s="14"/>
      <c r="Z112" s="14"/>
      <c r="AA112" s="14"/>
      <c r="AB112" s="14"/>
      <c r="AC112" s="14"/>
      <c r="AD112" s="14"/>
    </row>
    <row r="113" spans="1:30" x14ac:dyDescent="0.25">
      <c r="A113" s="14" t="s">
        <v>445</v>
      </c>
      <c r="B113" s="15" t="s">
        <v>129</v>
      </c>
      <c r="C113" s="50">
        <v>81.400000000000006</v>
      </c>
      <c r="D113" s="16">
        <f t="shared" si="35"/>
        <v>217.33800000000002</v>
      </c>
      <c r="E113" s="16"/>
      <c r="F113" s="16"/>
      <c r="G113" s="27">
        <f t="shared" si="31"/>
        <v>217.33800000000002</v>
      </c>
      <c r="H113" s="16"/>
      <c r="I113" s="19"/>
      <c r="J113" s="16"/>
      <c r="K113" s="20"/>
      <c r="L113" s="16"/>
      <c r="M113" s="21"/>
      <c r="N113" s="22">
        <v>400</v>
      </c>
      <c r="O113" s="22">
        <v>1970</v>
      </c>
      <c r="P113" s="22">
        <v>560</v>
      </c>
      <c r="Q113" s="14" t="s">
        <v>429</v>
      </c>
      <c r="R113" s="14" t="s">
        <v>430</v>
      </c>
      <c r="S113" s="14">
        <v>1</v>
      </c>
      <c r="T113" s="14">
        <v>715</v>
      </c>
      <c r="U113" s="14">
        <v>395</v>
      </c>
      <c r="V113" s="14">
        <v>1</v>
      </c>
      <c r="W113" s="14">
        <v>1245</v>
      </c>
      <c r="X113" s="14">
        <v>395</v>
      </c>
      <c r="Y113" s="14"/>
      <c r="Z113" s="14"/>
      <c r="AA113" s="14"/>
      <c r="AB113" s="14"/>
      <c r="AC113" s="14"/>
      <c r="AD113" s="14"/>
    </row>
    <row r="114" spans="1:30" x14ac:dyDescent="0.25">
      <c r="A114" s="14" t="s">
        <v>446</v>
      </c>
      <c r="B114" s="15" t="s">
        <v>130</v>
      </c>
      <c r="C114" s="50">
        <v>82.5</v>
      </c>
      <c r="D114" s="16">
        <f t="shared" si="35"/>
        <v>220.27500000000001</v>
      </c>
      <c r="E114" s="16"/>
      <c r="F114" s="16"/>
      <c r="G114" s="27">
        <f t="shared" si="31"/>
        <v>220.27500000000001</v>
      </c>
      <c r="H114" s="16"/>
      <c r="I114" s="19"/>
      <c r="J114" s="16"/>
      <c r="K114" s="20"/>
      <c r="L114" s="16"/>
      <c r="M114" s="21"/>
      <c r="N114" s="22">
        <v>450</v>
      </c>
      <c r="O114" s="22">
        <v>1970</v>
      </c>
      <c r="P114" s="22">
        <v>560</v>
      </c>
      <c r="Q114" s="14" t="s">
        <v>429</v>
      </c>
      <c r="R114" s="14" t="s">
        <v>430</v>
      </c>
      <c r="S114" s="14">
        <v>1</v>
      </c>
      <c r="T114" s="14">
        <v>715</v>
      </c>
      <c r="U114" s="14">
        <v>445</v>
      </c>
      <c r="V114" s="14">
        <v>1</v>
      </c>
      <c r="W114" s="14">
        <v>1245</v>
      </c>
      <c r="X114" s="14">
        <v>445</v>
      </c>
      <c r="Y114" s="14"/>
      <c r="Z114" s="14"/>
      <c r="AA114" s="14"/>
      <c r="AB114" s="14"/>
      <c r="AC114" s="14"/>
      <c r="AD114" s="14"/>
    </row>
    <row r="115" spans="1:30" x14ac:dyDescent="0.25">
      <c r="A115" s="14" t="s">
        <v>447</v>
      </c>
      <c r="B115" s="15" t="s">
        <v>131</v>
      </c>
      <c r="C115" s="50">
        <v>83.6</v>
      </c>
      <c r="D115" s="16">
        <f t="shared" si="35"/>
        <v>223.21199999999999</v>
      </c>
      <c r="E115" s="16"/>
      <c r="F115" s="16"/>
      <c r="G115" s="27">
        <f t="shared" si="31"/>
        <v>223.21199999999999</v>
      </c>
      <c r="H115" s="16"/>
      <c r="I115" s="19"/>
      <c r="J115" s="16"/>
      <c r="K115" s="20"/>
      <c r="L115" s="16"/>
      <c r="M115" s="21"/>
      <c r="N115" s="22">
        <v>500</v>
      </c>
      <c r="O115" s="22">
        <v>1970</v>
      </c>
      <c r="P115" s="22">
        <v>560</v>
      </c>
      <c r="Q115" s="14" t="s">
        <v>429</v>
      </c>
      <c r="R115" s="14" t="s">
        <v>430</v>
      </c>
      <c r="S115" s="14">
        <v>1</v>
      </c>
      <c r="T115" s="14">
        <v>715</v>
      </c>
      <c r="U115" s="14">
        <v>495</v>
      </c>
      <c r="V115" s="14">
        <v>1</v>
      </c>
      <c r="W115" s="14">
        <v>1245</v>
      </c>
      <c r="X115" s="14">
        <v>495</v>
      </c>
      <c r="Y115" s="14"/>
      <c r="Z115" s="14"/>
      <c r="AA115" s="14"/>
      <c r="AB115" s="14"/>
      <c r="AC115" s="14"/>
      <c r="AD115" s="14"/>
    </row>
    <row r="116" spans="1:30" x14ac:dyDescent="0.25">
      <c r="A116" s="14" t="s">
        <v>448</v>
      </c>
      <c r="B116" s="15" t="s">
        <v>132</v>
      </c>
      <c r="C116" s="50">
        <v>84.7</v>
      </c>
      <c r="D116" s="16">
        <f t="shared" si="35"/>
        <v>226.149</v>
      </c>
      <c r="E116" s="16"/>
      <c r="F116" s="16"/>
      <c r="G116" s="27">
        <f t="shared" si="31"/>
        <v>226.149</v>
      </c>
      <c r="H116" s="16"/>
      <c r="I116" s="19"/>
      <c r="J116" s="16"/>
      <c r="K116" s="20"/>
      <c r="L116" s="16"/>
      <c r="M116" s="21"/>
      <c r="N116" s="22">
        <v>600</v>
      </c>
      <c r="O116" s="22">
        <v>1970</v>
      </c>
      <c r="P116" s="22">
        <v>560</v>
      </c>
      <c r="Q116" s="14" t="s">
        <v>429</v>
      </c>
      <c r="R116" s="14" t="s">
        <v>430</v>
      </c>
      <c r="S116" s="14">
        <v>1</v>
      </c>
      <c r="T116" s="14">
        <v>715</v>
      </c>
      <c r="U116" s="14">
        <v>595</v>
      </c>
      <c r="V116" s="14">
        <v>1</v>
      </c>
      <c r="W116" s="14">
        <v>1245</v>
      </c>
      <c r="X116" s="14">
        <v>595</v>
      </c>
      <c r="Y116" s="14"/>
      <c r="Z116" s="14"/>
      <c r="AA116" s="14"/>
      <c r="AB116" s="14"/>
      <c r="AC116" s="14"/>
      <c r="AD116" s="14"/>
    </row>
    <row r="117" spans="1:30" x14ac:dyDescent="0.25">
      <c r="A117" s="14" t="s">
        <v>449</v>
      </c>
      <c r="B117" s="15" t="s">
        <v>133</v>
      </c>
      <c r="C117" s="50">
        <v>83.6</v>
      </c>
      <c r="D117" s="16">
        <f t="shared" ref="D117:D121" si="36">PRODUCT(C117,$D$1)</f>
        <v>223.21199999999999</v>
      </c>
      <c r="E117" s="16"/>
      <c r="F117" s="16"/>
      <c r="G117" s="27">
        <f t="shared" si="31"/>
        <v>223.21199999999999</v>
      </c>
      <c r="H117" s="16"/>
      <c r="I117" s="19"/>
      <c r="J117" s="16"/>
      <c r="K117" s="20"/>
      <c r="L117" s="16"/>
      <c r="M117" s="21"/>
      <c r="N117" s="22">
        <v>300</v>
      </c>
      <c r="O117" s="22">
        <v>2150</v>
      </c>
      <c r="P117" s="22">
        <v>560</v>
      </c>
      <c r="Q117" s="14" t="s">
        <v>429</v>
      </c>
      <c r="R117" s="14" t="s">
        <v>431</v>
      </c>
      <c r="S117" s="14">
        <v>1</v>
      </c>
      <c r="T117" s="14">
        <v>895</v>
      </c>
      <c r="U117" s="14">
        <v>295</v>
      </c>
      <c r="V117" s="14">
        <v>1</v>
      </c>
      <c r="W117" s="14">
        <v>1245</v>
      </c>
      <c r="X117" s="14">
        <v>295</v>
      </c>
      <c r="Y117" s="14"/>
      <c r="Z117" s="14"/>
      <c r="AA117" s="14"/>
      <c r="AB117" s="14"/>
      <c r="AC117" s="14"/>
      <c r="AD117" s="14"/>
    </row>
    <row r="118" spans="1:30" x14ac:dyDescent="0.25">
      <c r="A118" s="14" t="s">
        <v>450</v>
      </c>
      <c r="B118" s="15" t="s">
        <v>134</v>
      </c>
      <c r="C118" s="50">
        <v>84.7</v>
      </c>
      <c r="D118" s="16">
        <f t="shared" si="36"/>
        <v>226.149</v>
      </c>
      <c r="E118" s="16"/>
      <c r="F118" s="16"/>
      <c r="G118" s="27">
        <f t="shared" si="31"/>
        <v>226.149</v>
      </c>
      <c r="H118" s="16"/>
      <c r="I118" s="19"/>
      <c r="J118" s="16"/>
      <c r="K118" s="20"/>
      <c r="L118" s="16"/>
      <c r="M118" s="21"/>
      <c r="N118" s="22">
        <v>400</v>
      </c>
      <c r="O118" s="22">
        <v>2150</v>
      </c>
      <c r="P118" s="22">
        <v>560</v>
      </c>
      <c r="Q118" s="14" t="s">
        <v>429</v>
      </c>
      <c r="R118" s="14" t="s">
        <v>431</v>
      </c>
      <c r="S118" s="14">
        <v>1</v>
      </c>
      <c r="T118" s="14">
        <v>895</v>
      </c>
      <c r="U118" s="14">
        <v>395</v>
      </c>
      <c r="V118" s="14">
        <v>1</v>
      </c>
      <c r="W118" s="14">
        <v>1245</v>
      </c>
      <c r="X118" s="14">
        <v>395</v>
      </c>
      <c r="Y118" s="14"/>
      <c r="Z118" s="14"/>
      <c r="AA118" s="14"/>
      <c r="AB118" s="14"/>
      <c r="AC118" s="14"/>
      <c r="AD118" s="14"/>
    </row>
    <row r="119" spans="1:30" x14ac:dyDescent="0.25">
      <c r="A119" s="14" t="s">
        <v>451</v>
      </c>
      <c r="B119" s="15" t="s">
        <v>135</v>
      </c>
      <c r="C119" s="50">
        <v>85.8</v>
      </c>
      <c r="D119" s="16">
        <f t="shared" si="36"/>
        <v>229.08599999999998</v>
      </c>
      <c r="E119" s="16"/>
      <c r="F119" s="16"/>
      <c r="G119" s="27">
        <f t="shared" si="31"/>
        <v>229.08599999999998</v>
      </c>
      <c r="H119" s="16"/>
      <c r="I119" s="19"/>
      <c r="J119" s="16"/>
      <c r="K119" s="20"/>
      <c r="L119" s="16"/>
      <c r="M119" s="21"/>
      <c r="N119" s="22">
        <v>450</v>
      </c>
      <c r="O119" s="22">
        <v>2150</v>
      </c>
      <c r="P119" s="22">
        <v>560</v>
      </c>
      <c r="Q119" s="14" t="s">
        <v>429</v>
      </c>
      <c r="R119" s="14" t="s">
        <v>431</v>
      </c>
      <c r="S119" s="14">
        <v>1</v>
      </c>
      <c r="T119" s="14">
        <v>895</v>
      </c>
      <c r="U119" s="14">
        <v>445</v>
      </c>
      <c r="V119" s="14">
        <v>1</v>
      </c>
      <c r="W119" s="14">
        <v>1245</v>
      </c>
      <c r="X119" s="14">
        <v>445</v>
      </c>
      <c r="Y119" s="14"/>
      <c r="Z119" s="14"/>
      <c r="AA119" s="14"/>
      <c r="AB119" s="14"/>
      <c r="AC119" s="14"/>
      <c r="AD119" s="14"/>
    </row>
    <row r="120" spans="1:30" x14ac:dyDescent="0.25">
      <c r="A120" s="14" t="s">
        <v>452</v>
      </c>
      <c r="B120" s="15" t="s">
        <v>136</v>
      </c>
      <c r="C120" s="50">
        <v>86.9</v>
      </c>
      <c r="D120" s="16">
        <f t="shared" si="36"/>
        <v>232.023</v>
      </c>
      <c r="E120" s="16"/>
      <c r="F120" s="16"/>
      <c r="G120" s="27">
        <f t="shared" si="31"/>
        <v>232.023</v>
      </c>
      <c r="H120" s="16"/>
      <c r="I120" s="19"/>
      <c r="J120" s="16"/>
      <c r="K120" s="20"/>
      <c r="L120" s="16"/>
      <c r="M120" s="21"/>
      <c r="N120" s="22">
        <v>500</v>
      </c>
      <c r="O120" s="22">
        <v>2150</v>
      </c>
      <c r="P120" s="22">
        <v>560</v>
      </c>
      <c r="Q120" s="14" t="s">
        <v>429</v>
      </c>
      <c r="R120" s="14" t="s">
        <v>431</v>
      </c>
      <c r="S120" s="14">
        <v>1</v>
      </c>
      <c r="T120" s="14">
        <v>895</v>
      </c>
      <c r="U120" s="14">
        <v>495</v>
      </c>
      <c r="V120" s="14">
        <v>1</v>
      </c>
      <c r="W120" s="14">
        <v>1245</v>
      </c>
      <c r="X120" s="14">
        <v>495</v>
      </c>
      <c r="Y120" s="14"/>
      <c r="Z120" s="14"/>
      <c r="AA120" s="14"/>
      <c r="AB120" s="14"/>
      <c r="AC120" s="14"/>
      <c r="AD120" s="14"/>
    </row>
    <row r="121" spans="1:30" x14ac:dyDescent="0.25">
      <c r="A121" s="14" t="s">
        <v>453</v>
      </c>
      <c r="B121" s="15" t="s">
        <v>137</v>
      </c>
      <c r="C121" s="50">
        <v>88</v>
      </c>
      <c r="D121" s="16">
        <f t="shared" si="36"/>
        <v>234.95999999999998</v>
      </c>
      <c r="E121" s="16"/>
      <c r="F121" s="16"/>
      <c r="G121" s="27">
        <f t="shared" si="31"/>
        <v>234.95999999999998</v>
      </c>
      <c r="H121" s="16"/>
      <c r="I121" s="19"/>
      <c r="J121" s="16"/>
      <c r="K121" s="20"/>
      <c r="L121" s="16"/>
      <c r="M121" s="21"/>
      <c r="N121" s="22">
        <v>600</v>
      </c>
      <c r="O121" s="22">
        <v>2150</v>
      </c>
      <c r="P121" s="22">
        <v>560</v>
      </c>
      <c r="Q121" s="14" t="s">
        <v>429</v>
      </c>
      <c r="R121" s="14" t="s">
        <v>431</v>
      </c>
      <c r="S121" s="14">
        <v>1</v>
      </c>
      <c r="T121" s="14">
        <v>895</v>
      </c>
      <c r="U121" s="14">
        <v>595</v>
      </c>
      <c r="V121" s="14">
        <v>1</v>
      </c>
      <c r="W121" s="14">
        <v>1245</v>
      </c>
      <c r="X121" s="14">
        <v>595</v>
      </c>
      <c r="Y121" s="14"/>
      <c r="Z121" s="14"/>
      <c r="AA121" s="14"/>
      <c r="AB121" s="14"/>
      <c r="AC121" s="14"/>
      <c r="AD121" s="14"/>
    </row>
    <row r="122" spans="1:30" x14ac:dyDescent="0.25">
      <c r="A122" s="14" t="s">
        <v>476</v>
      </c>
      <c r="B122" s="15" t="s">
        <v>498</v>
      </c>
      <c r="C122" s="50">
        <v>81.400000000000006</v>
      </c>
      <c r="D122" s="16">
        <f t="shared" ref="D122:D123" si="37">PRODUCT(C122,$D$1)</f>
        <v>217.33800000000002</v>
      </c>
      <c r="E122" s="16"/>
      <c r="F122" s="16"/>
      <c r="G122" s="27">
        <f t="shared" si="31"/>
        <v>217.33800000000002</v>
      </c>
      <c r="H122" s="16"/>
      <c r="I122" s="19"/>
      <c r="J122" s="16"/>
      <c r="K122" s="20"/>
      <c r="L122" s="16"/>
      <c r="M122" s="21"/>
      <c r="N122" s="22">
        <v>400</v>
      </c>
      <c r="O122" s="22">
        <v>1970</v>
      </c>
      <c r="P122" s="22">
        <v>560</v>
      </c>
      <c r="Q122" s="14" t="s">
        <v>478</v>
      </c>
      <c r="R122" s="14" t="s">
        <v>430</v>
      </c>
      <c r="S122" s="14">
        <v>1</v>
      </c>
      <c r="T122" s="14">
        <v>715</v>
      </c>
      <c r="U122" s="14">
        <v>395</v>
      </c>
      <c r="V122" s="14">
        <v>1</v>
      </c>
      <c r="W122" s="14">
        <v>1245</v>
      </c>
      <c r="X122" s="14">
        <v>395</v>
      </c>
      <c r="Y122" s="14"/>
      <c r="Z122" s="14"/>
      <c r="AA122" s="14"/>
      <c r="AB122" s="14"/>
      <c r="AC122" s="14"/>
      <c r="AD122" s="14"/>
    </row>
    <row r="123" spans="1:30" x14ac:dyDescent="0.25">
      <c r="A123" s="14" t="s">
        <v>477</v>
      </c>
      <c r="B123" s="15" t="s">
        <v>499</v>
      </c>
      <c r="C123" s="50">
        <v>84.7</v>
      </c>
      <c r="D123" s="16">
        <f t="shared" si="37"/>
        <v>226.149</v>
      </c>
      <c r="E123" s="16"/>
      <c r="F123" s="16"/>
      <c r="G123" s="27">
        <f t="shared" si="31"/>
        <v>226.149</v>
      </c>
      <c r="H123" s="16"/>
      <c r="I123" s="19"/>
      <c r="J123" s="16"/>
      <c r="K123" s="20"/>
      <c r="L123" s="16"/>
      <c r="M123" s="21"/>
      <c r="N123" s="22">
        <v>600</v>
      </c>
      <c r="O123" s="22">
        <v>1970</v>
      </c>
      <c r="P123" s="22">
        <v>560</v>
      </c>
      <c r="Q123" s="14" t="s">
        <v>478</v>
      </c>
      <c r="R123" s="14" t="s">
        <v>430</v>
      </c>
      <c r="S123" s="14">
        <v>1</v>
      </c>
      <c r="T123" s="14">
        <v>715</v>
      </c>
      <c r="U123" s="14">
        <v>595</v>
      </c>
      <c r="V123" s="14">
        <v>1</v>
      </c>
      <c r="W123" s="14">
        <v>1245</v>
      </c>
      <c r="X123" s="14">
        <v>595</v>
      </c>
      <c r="Y123" s="14"/>
      <c r="Z123" s="14"/>
      <c r="AA123" s="14"/>
      <c r="AB123" s="14"/>
      <c r="AC123" s="14"/>
      <c r="AD123" s="14"/>
    </row>
    <row r="124" spans="1:30" x14ac:dyDescent="0.25">
      <c r="A124" s="14" t="s">
        <v>531</v>
      </c>
      <c r="B124" s="15" t="s">
        <v>533</v>
      </c>
      <c r="C124" s="50">
        <v>83.6</v>
      </c>
      <c r="D124" s="16">
        <f t="shared" ref="D124:D125" si="38">PRODUCT(C124,$D$1)</f>
        <v>223.21199999999999</v>
      </c>
      <c r="E124" s="16"/>
      <c r="F124" s="16"/>
      <c r="G124" s="27">
        <f t="shared" si="31"/>
        <v>223.21199999999999</v>
      </c>
      <c r="H124" s="16"/>
      <c r="I124" s="19"/>
      <c r="J124" s="16"/>
      <c r="K124" s="20"/>
      <c r="L124" s="16"/>
      <c r="M124" s="21"/>
      <c r="N124" s="22">
        <v>900</v>
      </c>
      <c r="O124" s="22">
        <v>1970</v>
      </c>
      <c r="P124" s="22">
        <v>900</v>
      </c>
      <c r="Q124" s="14" t="s">
        <v>429</v>
      </c>
      <c r="R124" s="14" t="s">
        <v>431</v>
      </c>
      <c r="S124" s="14">
        <v>1</v>
      </c>
      <c r="T124" s="14">
        <v>715</v>
      </c>
      <c r="U124" s="14">
        <v>335</v>
      </c>
      <c r="V124" s="14">
        <v>1</v>
      </c>
      <c r="W124" s="14">
        <v>715</v>
      </c>
      <c r="X124" s="14">
        <v>315</v>
      </c>
      <c r="Y124" s="14">
        <v>1</v>
      </c>
      <c r="Z124" s="14">
        <v>1245</v>
      </c>
      <c r="AA124" s="14">
        <v>335</v>
      </c>
      <c r="AB124" s="14">
        <v>1</v>
      </c>
      <c r="AC124" s="14">
        <v>1245</v>
      </c>
      <c r="AD124" s="14">
        <v>315</v>
      </c>
    </row>
    <row r="125" spans="1:30" x14ac:dyDescent="0.25">
      <c r="A125" s="14" t="s">
        <v>532</v>
      </c>
      <c r="B125" s="15" t="s">
        <v>534</v>
      </c>
      <c r="C125" s="50">
        <v>84.7</v>
      </c>
      <c r="D125" s="16">
        <f t="shared" si="38"/>
        <v>226.149</v>
      </c>
      <c r="E125" s="16"/>
      <c r="F125" s="16"/>
      <c r="G125" s="27">
        <f t="shared" si="31"/>
        <v>226.149</v>
      </c>
      <c r="H125" s="16"/>
      <c r="I125" s="19"/>
      <c r="J125" s="16"/>
      <c r="K125" s="20"/>
      <c r="L125" s="16"/>
      <c r="M125" s="21"/>
      <c r="N125" s="22">
        <v>900</v>
      </c>
      <c r="O125" s="22">
        <v>2150</v>
      </c>
      <c r="P125" s="22">
        <v>900</v>
      </c>
      <c r="Q125" s="14" t="s">
        <v>429</v>
      </c>
      <c r="R125" s="14" t="s">
        <v>431</v>
      </c>
      <c r="S125" s="14">
        <v>1</v>
      </c>
      <c r="T125" s="14">
        <v>895</v>
      </c>
      <c r="U125" s="14">
        <v>335</v>
      </c>
      <c r="V125" s="14">
        <v>1</v>
      </c>
      <c r="W125" s="14">
        <v>895</v>
      </c>
      <c r="X125" s="14">
        <v>315</v>
      </c>
      <c r="Y125" s="14">
        <v>1</v>
      </c>
      <c r="Z125" s="14">
        <v>1245</v>
      </c>
      <c r="AA125" s="14">
        <v>335</v>
      </c>
      <c r="AB125" s="14">
        <v>1</v>
      </c>
      <c r="AC125" s="14">
        <v>1245</v>
      </c>
      <c r="AD125" s="14">
        <v>315</v>
      </c>
    </row>
    <row r="126" spans="1:30" x14ac:dyDescent="0.25">
      <c r="A126" s="14" t="s">
        <v>537</v>
      </c>
      <c r="B126" s="15" t="s">
        <v>535</v>
      </c>
      <c r="C126" s="50">
        <v>81.400000000000006</v>
      </c>
      <c r="D126" s="16">
        <f t="shared" ref="D126:D127" si="39">PRODUCT(C126,$D$1)</f>
        <v>217.33800000000002</v>
      </c>
      <c r="E126" s="16">
        <v>81.72</v>
      </c>
      <c r="F126" s="16"/>
      <c r="G126" s="27">
        <f t="shared" si="31"/>
        <v>299.05799999999999</v>
      </c>
      <c r="H126" s="16"/>
      <c r="I126" s="19"/>
      <c r="J126" s="16"/>
      <c r="K126" s="20"/>
      <c r="L126" s="16"/>
      <c r="M126" s="21"/>
      <c r="N126" s="22">
        <v>400</v>
      </c>
      <c r="O126" s="22">
        <v>2150</v>
      </c>
      <c r="P126" s="22">
        <v>560</v>
      </c>
      <c r="Q126" s="14" t="s">
        <v>478</v>
      </c>
      <c r="R126" s="14" t="s">
        <v>430</v>
      </c>
      <c r="S126" s="14">
        <v>1</v>
      </c>
      <c r="T126" s="14">
        <v>895</v>
      </c>
      <c r="U126" s="14">
        <v>395</v>
      </c>
      <c r="V126" s="14">
        <v>1</v>
      </c>
      <c r="W126" s="14">
        <v>1245</v>
      </c>
      <c r="X126" s="14">
        <v>395</v>
      </c>
      <c r="Y126" s="14"/>
      <c r="Z126" s="14"/>
      <c r="AA126" s="14"/>
      <c r="AB126" s="14"/>
      <c r="AC126" s="14"/>
      <c r="AD126" s="14"/>
    </row>
    <row r="127" spans="1:30" x14ac:dyDescent="0.25">
      <c r="A127" s="14" t="s">
        <v>538</v>
      </c>
      <c r="B127" s="15" t="s">
        <v>536</v>
      </c>
      <c r="C127" s="50">
        <v>84.7</v>
      </c>
      <c r="D127" s="16">
        <f t="shared" si="39"/>
        <v>226.149</v>
      </c>
      <c r="E127" s="16">
        <v>113.16</v>
      </c>
      <c r="F127" s="16"/>
      <c r="G127" s="27">
        <f t="shared" si="31"/>
        <v>339.30899999999997</v>
      </c>
      <c r="H127" s="16"/>
      <c r="I127" s="19"/>
      <c r="J127" s="16"/>
      <c r="K127" s="20"/>
      <c r="L127" s="16"/>
      <c r="M127" s="21"/>
      <c r="N127" s="22">
        <v>600</v>
      </c>
      <c r="O127" s="22">
        <v>2150</v>
      </c>
      <c r="P127" s="22">
        <v>560</v>
      </c>
      <c r="Q127" s="14" t="s">
        <v>478</v>
      </c>
      <c r="R127" s="14" t="s">
        <v>430</v>
      </c>
      <c r="S127" s="14">
        <v>1</v>
      </c>
      <c r="T127" s="14">
        <v>895</v>
      </c>
      <c r="U127" s="14">
        <v>595</v>
      </c>
      <c r="V127" s="14">
        <v>1</v>
      </c>
      <c r="W127" s="14">
        <v>1245</v>
      </c>
      <c r="X127" s="14">
        <v>595</v>
      </c>
      <c r="Y127" s="14"/>
      <c r="Z127" s="14"/>
      <c r="AA127" s="14"/>
      <c r="AB127" s="14"/>
      <c r="AC127" s="14"/>
      <c r="AD127" s="14"/>
    </row>
    <row r="128" spans="1:30" x14ac:dyDescent="0.25">
      <c r="A128" s="14" t="s">
        <v>138</v>
      </c>
      <c r="B128" s="15" t="s">
        <v>139</v>
      </c>
      <c r="C128" s="50">
        <v>25.3</v>
      </c>
      <c r="D128" s="16">
        <f t="shared" ref="D128:D136" si="40">PRODUCT(C128,$D$1)</f>
        <v>67.551000000000002</v>
      </c>
      <c r="E128" s="16">
        <v>20.76</v>
      </c>
      <c r="F128" s="16"/>
      <c r="G128" s="27">
        <f t="shared" si="31"/>
        <v>88.311000000000007</v>
      </c>
      <c r="H128" s="16"/>
      <c r="I128" s="19"/>
      <c r="J128" s="16"/>
      <c r="K128" s="20"/>
      <c r="L128" s="16"/>
      <c r="M128" s="21"/>
      <c r="N128" s="22">
        <v>300</v>
      </c>
      <c r="O128" s="22">
        <v>575</v>
      </c>
      <c r="P128" s="22">
        <v>330</v>
      </c>
      <c r="Q128" s="14" t="s">
        <v>432</v>
      </c>
      <c r="R128" s="14" t="s">
        <v>433</v>
      </c>
      <c r="S128" s="14">
        <v>1</v>
      </c>
      <c r="T128" s="22">
        <v>570</v>
      </c>
      <c r="U128" s="14">
        <v>295</v>
      </c>
      <c r="V128" s="14"/>
      <c r="W128" s="14"/>
      <c r="X128" s="14"/>
      <c r="Y128" s="14"/>
      <c r="Z128" s="14"/>
      <c r="AA128" s="14"/>
      <c r="AB128" s="14"/>
      <c r="AC128" s="14"/>
      <c r="AD128" s="14"/>
    </row>
    <row r="129" spans="1:30" x14ac:dyDescent="0.25">
      <c r="A129" s="14" t="s">
        <v>140</v>
      </c>
      <c r="B129" s="15" t="s">
        <v>141</v>
      </c>
      <c r="C129" s="50">
        <v>26.4</v>
      </c>
      <c r="D129" s="16">
        <f t="shared" si="40"/>
        <v>70.488</v>
      </c>
      <c r="E129" s="16">
        <v>24.09</v>
      </c>
      <c r="F129" s="16"/>
      <c r="G129" s="27">
        <f t="shared" si="31"/>
        <v>94.578000000000003</v>
      </c>
      <c r="H129" s="16"/>
      <c r="I129" s="19"/>
      <c r="J129" s="16"/>
      <c r="K129" s="20"/>
      <c r="L129" s="16"/>
      <c r="M129" s="21"/>
      <c r="N129" s="22">
        <v>400</v>
      </c>
      <c r="O129" s="22">
        <v>575</v>
      </c>
      <c r="P129" s="22">
        <v>330</v>
      </c>
      <c r="Q129" s="14" t="s">
        <v>432</v>
      </c>
      <c r="R129" s="14" t="s">
        <v>433</v>
      </c>
      <c r="S129" s="14">
        <v>1</v>
      </c>
      <c r="T129" s="22">
        <v>570</v>
      </c>
      <c r="U129" s="14">
        <v>395</v>
      </c>
      <c r="V129" s="14"/>
      <c r="W129" s="14"/>
      <c r="X129" s="14"/>
      <c r="Y129" s="14"/>
      <c r="Z129" s="14"/>
      <c r="AA129" s="14"/>
      <c r="AB129" s="14"/>
      <c r="AC129" s="14"/>
      <c r="AD129" s="14"/>
    </row>
    <row r="130" spans="1:30" x14ac:dyDescent="0.25">
      <c r="A130" s="14" t="s">
        <v>142</v>
      </c>
      <c r="B130" s="15" t="s">
        <v>143</v>
      </c>
      <c r="C130" s="50">
        <v>27.5</v>
      </c>
      <c r="D130" s="16">
        <f t="shared" si="40"/>
        <v>73.424999999999997</v>
      </c>
      <c r="E130" s="16">
        <v>25.84</v>
      </c>
      <c r="F130" s="16"/>
      <c r="G130" s="27">
        <f t="shared" si="31"/>
        <v>99.265000000000001</v>
      </c>
      <c r="H130" s="16"/>
      <c r="I130" s="19"/>
      <c r="J130" s="16"/>
      <c r="K130" s="20"/>
      <c r="L130" s="16"/>
      <c r="M130" s="21"/>
      <c r="N130" s="22">
        <v>450</v>
      </c>
      <c r="O130" s="22">
        <v>575</v>
      </c>
      <c r="P130" s="22">
        <v>330</v>
      </c>
      <c r="Q130" s="14" t="s">
        <v>432</v>
      </c>
      <c r="R130" s="14" t="s">
        <v>433</v>
      </c>
      <c r="S130" s="14">
        <v>1</v>
      </c>
      <c r="T130" s="22">
        <v>570</v>
      </c>
      <c r="U130" s="14">
        <v>445</v>
      </c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x14ac:dyDescent="0.25">
      <c r="A131" s="14" t="s">
        <v>144</v>
      </c>
      <c r="B131" s="15" t="s">
        <v>145</v>
      </c>
      <c r="C131" s="50">
        <v>28.6</v>
      </c>
      <c r="D131" s="16">
        <f t="shared" si="40"/>
        <v>76.361999999999995</v>
      </c>
      <c r="E131" s="16">
        <v>27.56</v>
      </c>
      <c r="F131" s="16"/>
      <c r="G131" s="27">
        <f t="shared" si="31"/>
        <v>103.922</v>
      </c>
      <c r="H131" s="16"/>
      <c r="I131" s="19"/>
      <c r="J131" s="16"/>
      <c r="K131" s="20"/>
      <c r="L131" s="16"/>
      <c r="M131" s="21"/>
      <c r="N131" s="22">
        <v>500</v>
      </c>
      <c r="O131" s="22">
        <v>575</v>
      </c>
      <c r="P131" s="22">
        <v>330</v>
      </c>
      <c r="Q131" s="14" t="s">
        <v>432</v>
      </c>
      <c r="R131" s="14" t="s">
        <v>433</v>
      </c>
      <c r="S131" s="14">
        <v>1</v>
      </c>
      <c r="T131" s="22">
        <v>570</v>
      </c>
      <c r="U131" s="14">
        <v>495</v>
      </c>
      <c r="V131" s="14"/>
      <c r="W131" s="14"/>
      <c r="X131" s="14"/>
      <c r="Y131" s="14"/>
      <c r="Z131" s="14"/>
      <c r="AA131" s="14"/>
      <c r="AB131" s="14"/>
      <c r="AC131" s="14"/>
      <c r="AD131" s="14"/>
    </row>
    <row r="132" spans="1:30" x14ac:dyDescent="0.25">
      <c r="A132" s="14" t="s">
        <v>146</v>
      </c>
      <c r="B132" s="15" t="s">
        <v>147</v>
      </c>
      <c r="C132" s="50">
        <v>29.7</v>
      </c>
      <c r="D132" s="16">
        <f t="shared" si="40"/>
        <v>79.298999999999992</v>
      </c>
      <c r="E132" s="16">
        <v>30.96</v>
      </c>
      <c r="F132" s="16"/>
      <c r="G132" s="27">
        <f t="shared" si="31"/>
        <v>110.25899999999999</v>
      </c>
      <c r="H132" s="16"/>
      <c r="I132" s="19"/>
      <c r="J132" s="16"/>
      <c r="K132" s="20"/>
      <c r="L132" s="16"/>
      <c r="M132" s="21"/>
      <c r="N132" s="22">
        <v>600</v>
      </c>
      <c r="O132" s="22">
        <v>575</v>
      </c>
      <c r="P132" s="22">
        <v>330</v>
      </c>
      <c r="Q132" s="14" t="s">
        <v>432</v>
      </c>
      <c r="R132" s="14" t="s">
        <v>433</v>
      </c>
      <c r="S132" s="14">
        <v>1</v>
      </c>
      <c r="T132" s="22">
        <v>570</v>
      </c>
      <c r="U132" s="14">
        <v>595</v>
      </c>
      <c r="V132" s="14"/>
      <c r="W132" s="14"/>
      <c r="X132" s="14"/>
      <c r="Y132" s="14"/>
      <c r="Z132" s="14"/>
      <c r="AA132" s="14"/>
      <c r="AB132" s="14"/>
      <c r="AC132" s="14"/>
      <c r="AD132" s="14"/>
    </row>
    <row r="133" spans="1:30" x14ac:dyDescent="0.25">
      <c r="A133" s="14" t="s">
        <v>148</v>
      </c>
      <c r="B133" s="15" t="s">
        <v>149</v>
      </c>
      <c r="C133" s="50">
        <v>33</v>
      </c>
      <c r="D133" s="16">
        <f t="shared" si="40"/>
        <v>88.11</v>
      </c>
      <c r="E133" s="16">
        <v>45.86</v>
      </c>
      <c r="F133" s="16"/>
      <c r="G133" s="27">
        <f t="shared" si="31"/>
        <v>133.97</v>
      </c>
      <c r="H133" s="16"/>
      <c r="I133" s="19"/>
      <c r="J133" s="16"/>
      <c r="K133" s="20"/>
      <c r="L133" s="16"/>
      <c r="M133" s="21"/>
      <c r="N133" s="22">
        <v>800</v>
      </c>
      <c r="O133" s="22">
        <v>575</v>
      </c>
      <c r="P133" s="22">
        <v>330</v>
      </c>
      <c r="Q133" s="14" t="s">
        <v>432</v>
      </c>
      <c r="R133" s="14" t="s">
        <v>433</v>
      </c>
      <c r="S133" s="14">
        <v>2</v>
      </c>
      <c r="T133" s="22">
        <v>570</v>
      </c>
      <c r="U133" s="14">
        <v>395</v>
      </c>
      <c r="V133" s="14"/>
      <c r="W133" s="14"/>
      <c r="X133" s="14"/>
      <c r="Y133" s="14"/>
      <c r="Z133" s="14"/>
      <c r="AA133" s="14"/>
      <c r="AB133" s="14"/>
      <c r="AC133" s="14"/>
      <c r="AD133" s="14"/>
    </row>
    <row r="134" spans="1:30" x14ac:dyDescent="0.25">
      <c r="A134" s="14" t="s">
        <v>550</v>
      </c>
      <c r="B134" s="15" t="s">
        <v>551</v>
      </c>
      <c r="C134" s="50">
        <v>34</v>
      </c>
      <c r="D134" s="16">
        <f t="shared" si="40"/>
        <v>90.78</v>
      </c>
      <c r="E134" s="16">
        <v>57.32</v>
      </c>
      <c r="F134" s="16"/>
      <c r="G134" s="27">
        <f t="shared" si="31"/>
        <v>148.1</v>
      </c>
      <c r="H134" s="16"/>
      <c r="I134" s="19"/>
      <c r="J134" s="16"/>
      <c r="K134" s="20"/>
      <c r="L134" s="16"/>
      <c r="M134" s="21"/>
      <c r="N134" s="22">
        <v>900</v>
      </c>
      <c r="O134" s="22">
        <v>575</v>
      </c>
      <c r="P134" s="22">
        <v>330</v>
      </c>
      <c r="Q134" s="14" t="s">
        <v>432</v>
      </c>
      <c r="R134" s="14" t="s">
        <v>433</v>
      </c>
      <c r="S134" s="14">
        <v>2</v>
      </c>
      <c r="T134" s="22">
        <v>570</v>
      </c>
      <c r="U134" s="14">
        <v>445</v>
      </c>
      <c r="V134" s="14"/>
      <c r="W134" s="14"/>
      <c r="X134" s="14"/>
      <c r="Y134" s="14"/>
      <c r="Z134" s="14"/>
      <c r="AA134" s="14"/>
      <c r="AB134" s="14"/>
      <c r="AC134" s="14"/>
      <c r="AD134" s="14"/>
    </row>
    <row r="135" spans="1:30" x14ac:dyDescent="0.25">
      <c r="A135" s="14" t="s">
        <v>150</v>
      </c>
      <c r="B135" s="15" t="s">
        <v>151</v>
      </c>
      <c r="C135" s="50">
        <v>35.200000000000003</v>
      </c>
      <c r="D135" s="16">
        <f t="shared" si="40"/>
        <v>93.984000000000009</v>
      </c>
      <c r="E135" s="16">
        <v>57.32</v>
      </c>
      <c r="F135" s="16"/>
      <c r="G135" s="27">
        <f t="shared" si="31"/>
        <v>151.304</v>
      </c>
      <c r="H135" s="16"/>
      <c r="I135" s="19"/>
      <c r="J135" s="16"/>
      <c r="K135" s="20"/>
      <c r="L135" s="16"/>
      <c r="M135" s="21"/>
      <c r="N135" s="22">
        <v>1000</v>
      </c>
      <c r="O135" s="22">
        <v>575</v>
      </c>
      <c r="P135" s="22">
        <v>330</v>
      </c>
      <c r="Q135" s="14" t="s">
        <v>432</v>
      </c>
      <c r="R135" s="14" t="s">
        <v>433</v>
      </c>
      <c r="S135" s="14">
        <v>2</v>
      </c>
      <c r="T135" s="22">
        <v>570</v>
      </c>
      <c r="U135" s="14">
        <v>495</v>
      </c>
      <c r="V135" s="14"/>
      <c r="W135" s="14"/>
      <c r="X135" s="14"/>
      <c r="Y135" s="14"/>
      <c r="Z135" s="14"/>
      <c r="AA135" s="14"/>
      <c r="AB135" s="14"/>
      <c r="AC135" s="14"/>
      <c r="AD135" s="14"/>
    </row>
    <row r="136" spans="1:30" x14ac:dyDescent="0.25">
      <c r="A136" s="14" t="s">
        <v>152</v>
      </c>
      <c r="B136" s="15" t="s">
        <v>153</v>
      </c>
      <c r="C136" s="50">
        <v>37.4</v>
      </c>
      <c r="D136" s="16">
        <f t="shared" si="40"/>
        <v>99.85799999999999</v>
      </c>
      <c r="E136" s="16"/>
      <c r="F136" s="16"/>
      <c r="G136" s="27">
        <f t="shared" si="31"/>
        <v>99.85799999999999</v>
      </c>
      <c r="H136" s="16"/>
      <c r="I136" s="19"/>
      <c r="J136" s="16"/>
      <c r="K136" s="20"/>
      <c r="L136" s="16"/>
      <c r="M136" s="21"/>
      <c r="N136" s="22">
        <v>1200</v>
      </c>
      <c r="O136" s="22">
        <v>575</v>
      </c>
      <c r="P136" s="22">
        <v>330</v>
      </c>
      <c r="Q136" s="14" t="s">
        <v>432</v>
      </c>
      <c r="R136" s="14" t="s">
        <v>433</v>
      </c>
      <c r="S136" s="14">
        <v>2</v>
      </c>
      <c r="T136" s="22">
        <v>570</v>
      </c>
      <c r="U136" s="14">
        <v>595</v>
      </c>
      <c r="V136" s="14"/>
      <c r="W136" s="14"/>
      <c r="X136" s="14"/>
      <c r="Y136" s="14"/>
      <c r="Z136" s="14"/>
      <c r="AA136" s="14"/>
      <c r="AB136" s="14"/>
      <c r="AC136" s="14"/>
      <c r="AD136" s="14"/>
    </row>
    <row r="137" spans="1:30" x14ac:dyDescent="0.25">
      <c r="A137" s="14"/>
      <c r="B137" s="25" t="s">
        <v>154</v>
      </c>
      <c r="C137" s="50"/>
      <c r="D137" s="16"/>
      <c r="E137" s="16"/>
      <c r="F137" s="16"/>
      <c r="G137" s="27"/>
      <c r="H137" s="16"/>
      <c r="I137" s="19"/>
      <c r="J137" s="16"/>
      <c r="K137" s="20"/>
      <c r="L137" s="16"/>
      <c r="M137" s="21"/>
      <c r="N137" s="22"/>
      <c r="O137" s="22"/>
      <c r="P137" s="22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spans="1:30" x14ac:dyDescent="0.25">
      <c r="A138" s="14" t="s">
        <v>155</v>
      </c>
      <c r="B138" s="15" t="s">
        <v>156</v>
      </c>
      <c r="C138" s="50">
        <v>26.4</v>
      </c>
      <c r="D138" s="16">
        <f t="shared" ref="D138:D146" si="41">PRODUCT(C138,$D$1)</f>
        <v>70.488</v>
      </c>
      <c r="E138" s="16">
        <v>24.55</v>
      </c>
      <c r="F138" s="16"/>
      <c r="G138" s="27">
        <f t="shared" ref="G138:G146" si="42">D138+E138</f>
        <v>95.037999999999997</v>
      </c>
      <c r="H138" s="16"/>
      <c r="I138" s="19"/>
      <c r="J138" s="16"/>
      <c r="K138" s="20"/>
      <c r="L138" s="16"/>
      <c r="M138" s="21"/>
      <c r="N138" s="22">
        <v>300</v>
      </c>
      <c r="O138" s="22">
        <v>720</v>
      </c>
      <c r="P138" s="22">
        <v>330</v>
      </c>
      <c r="Q138" s="14" t="s">
        <v>432</v>
      </c>
      <c r="R138" s="14" t="s">
        <v>430</v>
      </c>
      <c r="S138" s="14">
        <v>1</v>
      </c>
      <c r="T138" s="14">
        <v>715</v>
      </c>
      <c r="U138" s="14">
        <v>295</v>
      </c>
      <c r="V138" s="14"/>
      <c r="W138" s="14"/>
      <c r="X138" s="14"/>
      <c r="Y138" s="14"/>
      <c r="Z138" s="14"/>
      <c r="AA138" s="14"/>
      <c r="AB138" s="14"/>
      <c r="AC138" s="14"/>
      <c r="AD138" s="14"/>
    </row>
    <row r="139" spans="1:30" x14ac:dyDescent="0.25">
      <c r="A139" s="14" t="s">
        <v>157</v>
      </c>
      <c r="B139" s="15" t="s">
        <v>158</v>
      </c>
      <c r="C139" s="50">
        <v>27.5</v>
      </c>
      <c r="D139" s="16">
        <f t="shared" si="41"/>
        <v>73.424999999999997</v>
      </c>
      <c r="E139" s="16">
        <v>27.02</v>
      </c>
      <c r="F139" s="16"/>
      <c r="G139" s="27">
        <f t="shared" si="42"/>
        <v>100.44499999999999</v>
      </c>
      <c r="H139" s="16"/>
      <c r="I139" s="19"/>
      <c r="J139" s="16"/>
      <c r="K139" s="20"/>
      <c r="L139" s="16"/>
      <c r="M139" s="21"/>
      <c r="N139" s="22">
        <v>400</v>
      </c>
      <c r="O139" s="22">
        <v>720</v>
      </c>
      <c r="P139" s="22">
        <v>330</v>
      </c>
      <c r="Q139" s="14" t="s">
        <v>432</v>
      </c>
      <c r="R139" s="14" t="s">
        <v>430</v>
      </c>
      <c r="S139" s="14">
        <v>1</v>
      </c>
      <c r="T139" s="14">
        <v>715</v>
      </c>
      <c r="U139" s="14">
        <v>395</v>
      </c>
      <c r="V139" s="14"/>
      <c r="W139" s="14"/>
      <c r="X139" s="14"/>
      <c r="Y139" s="14"/>
      <c r="Z139" s="14"/>
      <c r="AA139" s="14"/>
      <c r="AB139" s="14"/>
      <c r="AC139" s="14"/>
      <c r="AD139" s="14"/>
    </row>
    <row r="140" spans="1:30" x14ac:dyDescent="0.25">
      <c r="A140" s="14" t="s">
        <v>159</v>
      </c>
      <c r="B140" s="15" t="s">
        <v>160</v>
      </c>
      <c r="C140" s="50">
        <v>28.6</v>
      </c>
      <c r="D140" s="16">
        <f t="shared" si="41"/>
        <v>76.361999999999995</v>
      </c>
      <c r="E140" s="16">
        <v>31.32</v>
      </c>
      <c r="F140" s="16"/>
      <c r="G140" s="27">
        <f t="shared" si="42"/>
        <v>107.68199999999999</v>
      </c>
      <c r="H140" s="16"/>
      <c r="I140" s="19"/>
      <c r="J140" s="16"/>
      <c r="K140" s="20"/>
      <c r="L140" s="16"/>
      <c r="M140" s="21"/>
      <c r="N140" s="22">
        <v>450</v>
      </c>
      <c r="O140" s="22">
        <v>720</v>
      </c>
      <c r="P140" s="22">
        <v>330</v>
      </c>
      <c r="Q140" s="14" t="s">
        <v>432</v>
      </c>
      <c r="R140" s="14" t="s">
        <v>430</v>
      </c>
      <c r="S140" s="14">
        <v>1</v>
      </c>
      <c r="T140" s="14">
        <v>715</v>
      </c>
      <c r="U140" s="14">
        <v>445</v>
      </c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x14ac:dyDescent="0.25">
      <c r="A141" s="14" t="s">
        <v>161</v>
      </c>
      <c r="B141" s="15" t="s">
        <v>162</v>
      </c>
      <c r="C141" s="50">
        <v>29.7</v>
      </c>
      <c r="D141" s="16">
        <f t="shared" si="41"/>
        <v>79.298999999999992</v>
      </c>
      <c r="E141" s="16">
        <v>32.22</v>
      </c>
      <c r="F141" s="16"/>
      <c r="G141" s="27">
        <f t="shared" si="42"/>
        <v>111.51899999999999</v>
      </c>
      <c r="H141" s="16"/>
      <c r="I141" s="19"/>
      <c r="J141" s="16"/>
      <c r="K141" s="20"/>
      <c r="L141" s="16"/>
      <c r="M141" s="21"/>
      <c r="N141" s="22">
        <v>500</v>
      </c>
      <c r="O141" s="22">
        <v>720</v>
      </c>
      <c r="P141" s="22">
        <v>330</v>
      </c>
      <c r="Q141" s="14" t="s">
        <v>432</v>
      </c>
      <c r="R141" s="14" t="s">
        <v>430</v>
      </c>
      <c r="S141" s="14">
        <v>1</v>
      </c>
      <c r="T141" s="14">
        <v>715</v>
      </c>
      <c r="U141" s="14">
        <v>495</v>
      </c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x14ac:dyDescent="0.25">
      <c r="A142" s="14" t="s">
        <v>163</v>
      </c>
      <c r="B142" s="15" t="s">
        <v>164</v>
      </c>
      <c r="C142" s="50">
        <v>30.8</v>
      </c>
      <c r="D142" s="16">
        <f t="shared" si="41"/>
        <v>82.236000000000004</v>
      </c>
      <c r="E142" s="16">
        <v>38.44</v>
      </c>
      <c r="F142" s="16"/>
      <c r="G142" s="27">
        <f t="shared" si="42"/>
        <v>120.676</v>
      </c>
      <c r="H142" s="16"/>
      <c r="I142" s="19"/>
      <c r="J142" s="16"/>
      <c r="K142" s="20"/>
      <c r="L142" s="16"/>
      <c r="M142" s="21"/>
      <c r="N142" s="22">
        <v>600</v>
      </c>
      <c r="O142" s="22">
        <v>720</v>
      </c>
      <c r="P142" s="22">
        <v>330</v>
      </c>
      <c r="Q142" s="14" t="s">
        <v>432</v>
      </c>
      <c r="R142" s="14" t="s">
        <v>430</v>
      </c>
      <c r="S142" s="14">
        <v>1</v>
      </c>
      <c r="T142" s="14">
        <v>715</v>
      </c>
      <c r="U142" s="14">
        <v>595</v>
      </c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x14ac:dyDescent="0.25">
      <c r="A143" s="14" t="s">
        <v>165</v>
      </c>
      <c r="B143" s="15" t="s">
        <v>166</v>
      </c>
      <c r="C143" s="50">
        <v>35.200000000000003</v>
      </c>
      <c r="D143" s="16">
        <f t="shared" si="41"/>
        <v>93.984000000000009</v>
      </c>
      <c r="E143" s="16">
        <v>53.61</v>
      </c>
      <c r="F143" s="16"/>
      <c r="G143" s="27">
        <f t="shared" si="42"/>
        <v>147.59399999999999</v>
      </c>
      <c r="H143" s="16"/>
      <c r="I143" s="19"/>
      <c r="J143" s="16"/>
      <c r="K143" s="20"/>
      <c r="L143" s="16"/>
      <c r="M143" s="21"/>
      <c r="N143" s="22">
        <v>800</v>
      </c>
      <c r="O143" s="22">
        <v>720</v>
      </c>
      <c r="P143" s="22">
        <v>330</v>
      </c>
      <c r="Q143" s="14" t="s">
        <v>432</v>
      </c>
      <c r="R143" s="14" t="s">
        <v>430</v>
      </c>
      <c r="S143" s="14">
        <v>2</v>
      </c>
      <c r="T143" s="14">
        <v>715</v>
      </c>
      <c r="U143" s="14">
        <v>395</v>
      </c>
      <c r="V143" s="14"/>
      <c r="W143" s="14"/>
      <c r="X143" s="14"/>
      <c r="Y143" s="14"/>
      <c r="Z143" s="14"/>
      <c r="AA143" s="14"/>
      <c r="AB143" s="14"/>
      <c r="AC143" s="14"/>
      <c r="AD143" s="14"/>
    </row>
    <row r="144" spans="1:30" x14ac:dyDescent="0.25">
      <c r="A144" s="14" t="s">
        <v>548</v>
      </c>
      <c r="B144" s="15" t="s">
        <v>549</v>
      </c>
      <c r="C144" s="50">
        <v>36.200000000000003</v>
      </c>
      <c r="D144" s="16">
        <f t="shared" si="41"/>
        <v>96.654000000000011</v>
      </c>
      <c r="E144" s="16">
        <v>66.599999999999994</v>
      </c>
      <c r="F144" s="16"/>
      <c r="G144" s="27">
        <f t="shared" si="42"/>
        <v>163.25400000000002</v>
      </c>
      <c r="H144" s="16"/>
      <c r="I144" s="19"/>
      <c r="J144" s="16"/>
      <c r="K144" s="20"/>
      <c r="L144" s="16"/>
      <c r="M144" s="21"/>
      <c r="N144" s="22">
        <v>900</v>
      </c>
      <c r="O144" s="22">
        <v>720</v>
      </c>
      <c r="P144" s="22">
        <v>330</v>
      </c>
      <c r="Q144" s="14" t="s">
        <v>432</v>
      </c>
      <c r="R144" s="14" t="s">
        <v>430</v>
      </c>
      <c r="S144" s="14">
        <v>2</v>
      </c>
      <c r="T144" s="14">
        <v>715</v>
      </c>
      <c r="U144" s="14">
        <v>445</v>
      </c>
      <c r="V144" s="14"/>
      <c r="W144" s="14"/>
      <c r="X144" s="14"/>
      <c r="Y144" s="14"/>
      <c r="Z144" s="14"/>
      <c r="AA144" s="14"/>
      <c r="AB144" s="14"/>
      <c r="AC144" s="14"/>
      <c r="AD144" s="14"/>
    </row>
    <row r="145" spans="1:30" x14ac:dyDescent="0.25">
      <c r="A145" s="14" t="s">
        <v>167</v>
      </c>
      <c r="B145" s="15" t="s">
        <v>168</v>
      </c>
      <c r="C145" s="50">
        <v>37.4</v>
      </c>
      <c r="D145" s="16">
        <f t="shared" si="41"/>
        <v>99.85799999999999</v>
      </c>
      <c r="E145" s="16">
        <v>66.599999999999994</v>
      </c>
      <c r="F145" s="16"/>
      <c r="G145" s="27">
        <f t="shared" si="42"/>
        <v>166.45799999999997</v>
      </c>
      <c r="H145" s="16"/>
      <c r="I145" s="19"/>
      <c r="J145" s="16"/>
      <c r="K145" s="20"/>
      <c r="L145" s="16"/>
      <c r="M145" s="21"/>
      <c r="N145" s="22">
        <v>1000</v>
      </c>
      <c r="O145" s="22">
        <v>720</v>
      </c>
      <c r="P145" s="22">
        <v>330</v>
      </c>
      <c r="Q145" s="14" t="s">
        <v>432</v>
      </c>
      <c r="R145" s="14" t="s">
        <v>430</v>
      </c>
      <c r="S145" s="14">
        <v>2</v>
      </c>
      <c r="T145" s="14">
        <v>715</v>
      </c>
      <c r="U145" s="14">
        <v>495</v>
      </c>
      <c r="V145" s="14"/>
      <c r="W145" s="14"/>
      <c r="X145" s="14"/>
      <c r="Y145" s="14"/>
      <c r="Z145" s="14"/>
      <c r="AA145" s="14"/>
      <c r="AB145" s="14"/>
      <c r="AC145" s="14"/>
      <c r="AD145" s="14"/>
    </row>
    <row r="146" spans="1:30" x14ac:dyDescent="0.25">
      <c r="A146" s="14" t="s">
        <v>169</v>
      </c>
      <c r="B146" s="15" t="s">
        <v>170</v>
      </c>
      <c r="C146" s="50">
        <v>39.6</v>
      </c>
      <c r="D146" s="16">
        <f t="shared" si="41"/>
        <v>105.732</v>
      </c>
      <c r="E146" s="16"/>
      <c r="F146" s="16"/>
      <c r="G146" s="27">
        <f t="shared" si="42"/>
        <v>105.732</v>
      </c>
      <c r="H146" s="16"/>
      <c r="I146" s="19"/>
      <c r="J146" s="16"/>
      <c r="K146" s="20"/>
      <c r="L146" s="16"/>
      <c r="M146" s="21"/>
      <c r="N146" s="22">
        <v>1200</v>
      </c>
      <c r="O146" s="22">
        <v>720</v>
      </c>
      <c r="P146" s="22">
        <v>330</v>
      </c>
      <c r="Q146" s="14" t="s">
        <v>432</v>
      </c>
      <c r="R146" s="14" t="s">
        <v>430</v>
      </c>
      <c r="S146" s="14">
        <v>2</v>
      </c>
      <c r="T146" s="14">
        <v>715</v>
      </c>
      <c r="U146" s="14">
        <v>595</v>
      </c>
      <c r="V146" s="14"/>
      <c r="W146" s="14"/>
      <c r="X146" s="14"/>
      <c r="Y146" s="14"/>
      <c r="Z146" s="14"/>
      <c r="AA146" s="14"/>
      <c r="AB146" s="14"/>
      <c r="AC146" s="14"/>
      <c r="AD146" s="14"/>
    </row>
    <row r="147" spans="1:30" x14ac:dyDescent="0.25">
      <c r="A147" s="14"/>
      <c r="B147" s="25" t="s">
        <v>171</v>
      </c>
      <c r="C147" s="50"/>
      <c r="D147" s="16"/>
      <c r="E147" s="16"/>
      <c r="F147" s="16"/>
      <c r="G147" s="27"/>
      <c r="H147" s="16"/>
      <c r="I147" s="19"/>
      <c r="J147" s="16"/>
      <c r="K147" s="20"/>
      <c r="L147" s="16"/>
      <c r="M147" s="21"/>
      <c r="N147" s="22"/>
      <c r="O147" s="22"/>
      <c r="P147" s="22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spans="1:30" x14ac:dyDescent="0.25">
      <c r="A148" s="14" t="s">
        <v>541</v>
      </c>
      <c r="B148" s="15" t="s">
        <v>542</v>
      </c>
      <c r="C148" s="50">
        <v>32</v>
      </c>
      <c r="D148" s="16">
        <f t="shared" ref="D148:D149" si="43">PRODUCT(C148,$D$1)</f>
        <v>85.44</v>
      </c>
      <c r="E148" s="16"/>
      <c r="F148" s="16"/>
      <c r="G148" s="27">
        <f t="shared" ref="G148:G161" si="44">D148+E148</f>
        <v>85.44</v>
      </c>
      <c r="H148" s="16"/>
      <c r="I148" s="19"/>
      <c r="J148" s="16"/>
      <c r="K148" s="20"/>
      <c r="L148" s="16"/>
      <c r="M148" s="21"/>
      <c r="N148" s="22">
        <v>300</v>
      </c>
      <c r="O148" s="22">
        <v>720</v>
      </c>
      <c r="P148" s="22"/>
      <c r="Q148" s="14" t="s">
        <v>432</v>
      </c>
      <c r="R148" s="14" t="s">
        <v>430</v>
      </c>
      <c r="S148" s="14">
        <v>1</v>
      </c>
      <c r="T148" s="14">
        <v>715</v>
      </c>
      <c r="U148" s="14">
        <v>345</v>
      </c>
      <c r="V148" s="14"/>
      <c r="W148" s="14"/>
      <c r="X148" s="14"/>
      <c r="Y148" s="14"/>
      <c r="Z148" s="14"/>
      <c r="AA148" s="14"/>
      <c r="AB148" s="14"/>
      <c r="AC148" s="14"/>
      <c r="AD148" s="14"/>
    </row>
    <row r="149" spans="1:30" x14ac:dyDescent="0.25">
      <c r="A149" s="14" t="s">
        <v>172</v>
      </c>
      <c r="B149" s="15" t="s">
        <v>173</v>
      </c>
      <c r="C149" s="50">
        <v>35</v>
      </c>
      <c r="D149" s="16">
        <f t="shared" si="43"/>
        <v>93.45</v>
      </c>
      <c r="E149" s="16"/>
      <c r="F149" s="16"/>
      <c r="G149" s="27">
        <f t="shared" si="44"/>
        <v>93.45</v>
      </c>
      <c r="H149" s="16"/>
      <c r="I149" s="19"/>
      <c r="J149" s="16"/>
      <c r="K149" s="20"/>
      <c r="L149" s="16"/>
      <c r="M149" s="21"/>
      <c r="N149" s="22">
        <v>500</v>
      </c>
      <c r="O149" s="22">
        <v>720</v>
      </c>
      <c r="P149" s="22"/>
      <c r="Q149" s="14" t="s">
        <v>432</v>
      </c>
      <c r="R149" s="14" t="s">
        <v>430</v>
      </c>
      <c r="S149" s="14">
        <v>1</v>
      </c>
      <c r="T149" s="14">
        <v>715</v>
      </c>
      <c r="U149" s="14">
        <v>445</v>
      </c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x14ac:dyDescent="0.25">
      <c r="A150" s="14" t="s">
        <v>558</v>
      </c>
      <c r="B150" s="15" t="s">
        <v>559</v>
      </c>
      <c r="C150" s="50">
        <v>35.200000000000003</v>
      </c>
      <c r="D150" s="16">
        <f t="shared" ref="D150:D152" si="45">PRODUCT(C150,$D$1)</f>
        <v>93.984000000000009</v>
      </c>
      <c r="E150" s="16"/>
      <c r="F150" s="16"/>
      <c r="G150" s="27">
        <f t="shared" si="44"/>
        <v>93.984000000000009</v>
      </c>
      <c r="H150" s="16"/>
      <c r="I150" s="19"/>
      <c r="J150" s="16"/>
      <c r="K150" s="20"/>
      <c r="L150" s="16"/>
      <c r="M150" s="21"/>
      <c r="N150" s="22">
        <v>800</v>
      </c>
      <c r="O150" s="22">
        <v>720</v>
      </c>
      <c r="P150" s="22">
        <v>330</v>
      </c>
      <c r="Q150" s="14" t="s">
        <v>432</v>
      </c>
      <c r="R150" s="14" t="s">
        <v>430</v>
      </c>
      <c r="S150" s="14">
        <v>2</v>
      </c>
      <c r="T150" s="14">
        <v>355</v>
      </c>
      <c r="U150" s="14">
        <v>795</v>
      </c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x14ac:dyDescent="0.25">
      <c r="A151" s="14" t="s">
        <v>554</v>
      </c>
      <c r="B151" s="15" t="s">
        <v>556</v>
      </c>
      <c r="C151" s="50">
        <v>36.200000000000003</v>
      </c>
      <c r="D151" s="16">
        <f t="shared" si="45"/>
        <v>96.654000000000011</v>
      </c>
      <c r="E151" s="16"/>
      <c r="F151" s="16"/>
      <c r="G151" s="27">
        <f t="shared" si="44"/>
        <v>96.654000000000011</v>
      </c>
      <c r="H151" s="16"/>
      <c r="I151" s="19"/>
      <c r="J151" s="16"/>
      <c r="K151" s="20"/>
      <c r="L151" s="16"/>
      <c r="M151" s="21"/>
      <c r="N151" s="22">
        <v>900</v>
      </c>
      <c r="O151" s="22">
        <v>720</v>
      </c>
      <c r="P151" s="22">
        <v>330</v>
      </c>
      <c r="Q151" s="14" t="s">
        <v>432</v>
      </c>
      <c r="R151" s="14" t="s">
        <v>430</v>
      </c>
      <c r="S151" s="14">
        <v>2</v>
      </c>
      <c r="T151" s="14">
        <v>355</v>
      </c>
      <c r="U151" s="14">
        <v>895</v>
      </c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x14ac:dyDescent="0.25">
      <c r="A152" s="14" t="s">
        <v>555</v>
      </c>
      <c r="B152" s="15" t="s">
        <v>557</v>
      </c>
      <c r="C152" s="50">
        <v>37.4</v>
      </c>
      <c r="D152" s="16">
        <f t="shared" si="45"/>
        <v>99.85799999999999</v>
      </c>
      <c r="E152" s="16"/>
      <c r="F152" s="16"/>
      <c r="G152" s="27">
        <f t="shared" si="44"/>
        <v>99.85799999999999</v>
      </c>
      <c r="H152" s="16"/>
      <c r="I152" s="19"/>
      <c r="J152" s="16"/>
      <c r="K152" s="20"/>
      <c r="L152" s="16"/>
      <c r="M152" s="21"/>
      <c r="N152" s="22">
        <v>1000</v>
      </c>
      <c r="O152" s="22">
        <v>720</v>
      </c>
      <c r="P152" s="22">
        <v>330</v>
      </c>
      <c r="Q152" s="14" t="s">
        <v>432</v>
      </c>
      <c r="R152" s="14" t="s">
        <v>430</v>
      </c>
      <c r="S152" s="14">
        <v>2</v>
      </c>
      <c r="T152" s="14">
        <v>355</v>
      </c>
      <c r="U152" s="14">
        <v>995</v>
      </c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1:30" x14ac:dyDescent="0.25">
      <c r="A153" s="14" t="s">
        <v>174</v>
      </c>
      <c r="B153" s="15" t="s">
        <v>175</v>
      </c>
      <c r="C153" s="50">
        <v>29.7</v>
      </c>
      <c r="D153" s="16">
        <f t="shared" ref="D153:D161" si="46">PRODUCT(C153,$D$1)</f>
        <v>79.298999999999992</v>
      </c>
      <c r="E153" s="16">
        <v>31.53</v>
      </c>
      <c r="F153" s="16"/>
      <c r="G153" s="27">
        <f t="shared" si="44"/>
        <v>110.82899999999999</v>
      </c>
      <c r="H153" s="16"/>
      <c r="I153" s="19"/>
      <c r="J153" s="16"/>
      <c r="K153" s="20"/>
      <c r="L153" s="16"/>
      <c r="M153" s="21"/>
      <c r="N153" s="22">
        <v>300</v>
      </c>
      <c r="O153" s="22">
        <v>900</v>
      </c>
      <c r="P153" s="22">
        <v>330</v>
      </c>
      <c r="Q153" s="14" t="s">
        <v>432</v>
      </c>
      <c r="R153" s="14" t="s">
        <v>431</v>
      </c>
      <c r="S153" s="14">
        <v>1</v>
      </c>
      <c r="T153" s="14">
        <v>895</v>
      </c>
      <c r="U153" s="14">
        <v>295</v>
      </c>
      <c r="V153" s="14"/>
      <c r="W153" s="14"/>
      <c r="X153" s="14"/>
      <c r="Y153" s="14"/>
      <c r="Z153" s="14"/>
      <c r="AA153" s="14"/>
      <c r="AB153" s="14"/>
      <c r="AC153" s="14"/>
      <c r="AD153" s="14"/>
    </row>
    <row r="154" spans="1:30" x14ac:dyDescent="0.25">
      <c r="A154" s="14" t="s">
        <v>176</v>
      </c>
      <c r="B154" s="15" t="s">
        <v>177</v>
      </c>
      <c r="C154" s="50">
        <v>30.8</v>
      </c>
      <c r="D154" s="16">
        <f t="shared" si="46"/>
        <v>82.236000000000004</v>
      </c>
      <c r="E154" s="16">
        <v>37.43</v>
      </c>
      <c r="F154" s="16"/>
      <c r="G154" s="27">
        <f t="shared" si="44"/>
        <v>119.666</v>
      </c>
      <c r="H154" s="16"/>
      <c r="I154" s="19"/>
      <c r="J154" s="16"/>
      <c r="K154" s="20"/>
      <c r="L154" s="16"/>
      <c r="M154" s="21"/>
      <c r="N154" s="22">
        <v>400</v>
      </c>
      <c r="O154" s="22">
        <v>900</v>
      </c>
      <c r="P154" s="22">
        <v>330</v>
      </c>
      <c r="Q154" s="14" t="s">
        <v>432</v>
      </c>
      <c r="R154" s="14" t="s">
        <v>431</v>
      </c>
      <c r="S154" s="14">
        <v>1</v>
      </c>
      <c r="T154" s="14">
        <v>895</v>
      </c>
      <c r="U154" s="14">
        <v>395</v>
      </c>
      <c r="V154" s="14"/>
      <c r="W154" s="14"/>
      <c r="X154" s="14"/>
      <c r="Y154" s="14"/>
      <c r="Z154" s="14"/>
      <c r="AA154" s="14"/>
      <c r="AB154" s="14"/>
      <c r="AC154" s="14"/>
      <c r="AD154" s="14"/>
    </row>
    <row r="155" spans="1:30" x14ac:dyDescent="0.25">
      <c r="A155" s="14" t="s">
        <v>178</v>
      </c>
      <c r="B155" s="15" t="s">
        <v>179</v>
      </c>
      <c r="C155" s="50">
        <v>31.9</v>
      </c>
      <c r="D155" s="16">
        <f t="shared" si="46"/>
        <v>85.172999999999988</v>
      </c>
      <c r="E155" s="16">
        <v>40.54</v>
      </c>
      <c r="F155" s="16"/>
      <c r="G155" s="27">
        <f t="shared" si="44"/>
        <v>125.71299999999999</v>
      </c>
      <c r="H155" s="16"/>
      <c r="I155" s="19"/>
      <c r="J155" s="16"/>
      <c r="K155" s="20"/>
      <c r="L155" s="16"/>
      <c r="M155" s="21"/>
      <c r="N155" s="22">
        <v>450</v>
      </c>
      <c r="O155" s="22">
        <v>900</v>
      </c>
      <c r="P155" s="22">
        <v>330</v>
      </c>
      <c r="Q155" s="14" t="s">
        <v>432</v>
      </c>
      <c r="R155" s="14" t="s">
        <v>431</v>
      </c>
      <c r="S155" s="14">
        <v>1</v>
      </c>
      <c r="T155" s="14">
        <v>895</v>
      </c>
      <c r="U155" s="14">
        <v>445</v>
      </c>
      <c r="V155" s="14"/>
      <c r="W155" s="14"/>
      <c r="X155" s="14"/>
      <c r="Y155" s="14"/>
      <c r="Z155" s="14"/>
      <c r="AA155" s="14"/>
      <c r="AB155" s="14"/>
      <c r="AC155" s="14"/>
      <c r="AD155" s="14"/>
    </row>
    <row r="156" spans="1:30" x14ac:dyDescent="0.25">
      <c r="A156" s="14" t="s">
        <v>180</v>
      </c>
      <c r="B156" s="15" t="s">
        <v>181</v>
      </c>
      <c r="C156" s="50">
        <v>33</v>
      </c>
      <c r="D156" s="16">
        <f t="shared" si="46"/>
        <v>88.11</v>
      </c>
      <c r="E156" s="16">
        <v>43.27</v>
      </c>
      <c r="F156" s="16"/>
      <c r="G156" s="27">
        <f t="shared" si="44"/>
        <v>131.38</v>
      </c>
      <c r="H156" s="16"/>
      <c r="I156" s="19"/>
      <c r="J156" s="16"/>
      <c r="K156" s="20"/>
      <c r="L156" s="16"/>
      <c r="M156" s="21"/>
      <c r="N156" s="22">
        <v>500</v>
      </c>
      <c r="O156" s="22">
        <v>900</v>
      </c>
      <c r="P156" s="22">
        <v>330</v>
      </c>
      <c r="Q156" s="14" t="s">
        <v>432</v>
      </c>
      <c r="R156" s="14" t="s">
        <v>431</v>
      </c>
      <c r="S156" s="14">
        <v>1</v>
      </c>
      <c r="T156" s="14">
        <v>895</v>
      </c>
      <c r="U156" s="14">
        <v>495</v>
      </c>
      <c r="V156" s="14"/>
      <c r="W156" s="14"/>
      <c r="X156" s="14"/>
      <c r="Y156" s="14"/>
      <c r="Z156" s="14"/>
      <c r="AA156" s="14"/>
      <c r="AB156" s="14"/>
      <c r="AC156" s="14"/>
      <c r="AD156" s="14"/>
    </row>
    <row r="157" spans="1:30" x14ac:dyDescent="0.25">
      <c r="A157" s="14" t="s">
        <v>182</v>
      </c>
      <c r="B157" s="15" t="s">
        <v>183</v>
      </c>
      <c r="C157" s="50">
        <v>34</v>
      </c>
      <c r="D157" s="16">
        <f t="shared" si="46"/>
        <v>90.78</v>
      </c>
      <c r="E157" s="16">
        <v>48.78</v>
      </c>
      <c r="F157" s="16"/>
      <c r="G157" s="27">
        <f t="shared" si="44"/>
        <v>139.56</v>
      </c>
      <c r="H157" s="16"/>
      <c r="I157" s="19"/>
      <c r="J157" s="16"/>
      <c r="K157" s="20"/>
      <c r="L157" s="16"/>
      <c r="M157" s="21"/>
      <c r="N157" s="22">
        <v>600</v>
      </c>
      <c r="O157" s="22">
        <v>900</v>
      </c>
      <c r="P157" s="22">
        <v>330</v>
      </c>
      <c r="Q157" s="14" t="s">
        <v>432</v>
      </c>
      <c r="R157" s="14" t="s">
        <v>431</v>
      </c>
      <c r="S157" s="14">
        <v>1</v>
      </c>
      <c r="T157" s="14">
        <v>895</v>
      </c>
      <c r="U157" s="14">
        <v>595</v>
      </c>
      <c r="V157" s="14"/>
      <c r="W157" s="14"/>
      <c r="X157" s="14"/>
      <c r="Y157" s="14"/>
      <c r="Z157" s="14"/>
      <c r="AA157" s="14"/>
      <c r="AB157" s="14"/>
      <c r="AC157" s="14"/>
      <c r="AD157" s="14"/>
    </row>
    <row r="158" spans="1:30" x14ac:dyDescent="0.25">
      <c r="A158" s="14" t="s">
        <v>184</v>
      </c>
      <c r="B158" s="15" t="s">
        <v>185</v>
      </c>
      <c r="C158" s="50">
        <v>35</v>
      </c>
      <c r="D158" s="16">
        <f t="shared" si="46"/>
        <v>93.45</v>
      </c>
      <c r="E158" s="16">
        <v>69.040000000000006</v>
      </c>
      <c r="F158" s="16"/>
      <c r="G158" s="27">
        <f t="shared" si="44"/>
        <v>162.49</v>
      </c>
      <c r="H158" s="16"/>
      <c r="I158" s="19"/>
      <c r="J158" s="16"/>
      <c r="K158" s="20"/>
      <c r="L158" s="16"/>
      <c r="M158" s="21"/>
      <c r="N158" s="22">
        <v>800</v>
      </c>
      <c r="O158" s="22">
        <v>900</v>
      </c>
      <c r="P158" s="22">
        <v>330</v>
      </c>
      <c r="Q158" s="14" t="s">
        <v>432</v>
      </c>
      <c r="R158" s="14" t="s">
        <v>431</v>
      </c>
      <c r="S158" s="14">
        <v>2</v>
      </c>
      <c r="T158" s="14">
        <v>895</v>
      </c>
      <c r="U158" s="14">
        <v>395</v>
      </c>
      <c r="V158" s="14"/>
      <c r="W158" s="14"/>
      <c r="X158" s="14"/>
      <c r="Y158" s="14"/>
      <c r="Z158" s="14"/>
      <c r="AA158" s="14"/>
      <c r="AB158" s="14"/>
      <c r="AC158" s="14"/>
      <c r="AD158" s="14"/>
    </row>
    <row r="159" spans="1:30" x14ac:dyDescent="0.25">
      <c r="A159" s="14" t="s">
        <v>552</v>
      </c>
      <c r="B159" s="15" t="s">
        <v>553</v>
      </c>
      <c r="C159" s="50">
        <v>36</v>
      </c>
      <c r="D159" s="16">
        <f t="shared" si="46"/>
        <v>96.12</v>
      </c>
      <c r="E159" s="16">
        <v>86.32</v>
      </c>
      <c r="F159" s="16"/>
      <c r="G159" s="27">
        <f t="shared" si="44"/>
        <v>182.44</v>
      </c>
      <c r="H159" s="16"/>
      <c r="I159" s="19"/>
      <c r="J159" s="16"/>
      <c r="K159" s="20"/>
      <c r="L159" s="16"/>
      <c r="M159" s="21"/>
      <c r="N159" s="22">
        <v>900</v>
      </c>
      <c r="O159" s="22">
        <v>900</v>
      </c>
      <c r="P159" s="22">
        <v>330</v>
      </c>
      <c r="Q159" s="14" t="s">
        <v>432</v>
      </c>
      <c r="R159" s="14" t="s">
        <v>431</v>
      </c>
      <c r="S159" s="14">
        <v>2</v>
      </c>
      <c r="T159" s="14">
        <v>895</v>
      </c>
      <c r="U159" s="14">
        <v>445</v>
      </c>
      <c r="V159" s="14"/>
      <c r="W159" s="14"/>
      <c r="X159" s="14"/>
      <c r="Y159" s="14"/>
      <c r="Z159" s="14"/>
      <c r="AA159" s="14"/>
      <c r="AB159" s="14"/>
      <c r="AC159" s="14"/>
      <c r="AD159" s="14"/>
    </row>
    <row r="160" spans="1:30" x14ac:dyDescent="0.25">
      <c r="A160" s="14" t="s">
        <v>186</v>
      </c>
      <c r="B160" s="15" t="s">
        <v>187</v>
      </c>
      <c r="C160" s="50">
        <v>41.8</v>
      </c>
      <c r="D160" s="16">
        <f t="shared" si="46"/>
        <v>111.60599999999999</v>
      </c>
      <c r="E160" s="16">
        <v>86.32</v>
      </c>
      <c r="F160" s="16"/>
      <c r="G160" s="27">
        <f t="shared" si="44"/>
        <v>197.92599999999999</v>
      </c>
      <c r="H160" s="16"/>
      <c r="I160" s="19"/>
      <c r="J160" s="16"/>
      <c r="K160" s="20"/>
      <c r="L160" s="16"/>
      <c r="M160" s="21"/>
      <c r="N160" s="22">
        <v>1000</v>
      </c>
      <c r="O160" s="22">
        <v>900</v>
      </c>
      <c r="P160" s="22">
        <v>330</v>
      </c>
      <c r="Q160" s="14" t="s">
        <v>432</v>
      </c>
      <c r="R160" s="14" t="s">
        <v>431</v>
      </c>
      <c r="S160" s="14">
        <v>2</v>
      </c>
      <c r="T160" s="14">
        <v>895</v>
      </c>
      <c r="U160" s="14">
        <v>495</v>
      </c>
      <c r="V160" s="14"/>
      <c r="W160" s="14"/>
      <c r="X160" s="14"/>
      <c r="Y160" s="14"/>
      <c r="Z160" s="14"/>
      <c r="AA160" s="14"/>
      <c r="AB160" s="14"/>
      <c r="AC160" s="14"/>
      <c r="AD160" s="14"/>
    </row>
    <row r="161" spans="1:30" x14ac:dyDescent="0.25">
      <c r="A161" s="14" t="s">
        <v>188</v>
      </c>
      <c r="B161" s="15" t="s">
        <v>189</v>
      </c>
      <c r="C161" s="50">
        <v>44</v>
      </c>
      <c r="D161" s="16">
        <f t="shared" si="46"/>
        <v>117.47999999999999</v>
      </c>
      <c r="E161" s="16"/>
      <c r="F161" s="16"/>
      <c r="G161" s="27">
        <f t="shared" si="44"/>
        <v>117.47999999999999</v>
      </c>
      <c r="H161" s="16"/>
      <c r="I161" s="19"/>
      <c r="J161" s="16"/>
      <c r="K161" s="20"/>
      <c r="L161" s="16"/>
      <c r="M161" s="21"/>
      <c r="N161" s="22">
        <v>1200</v>
      </c>
      <c r="O161" s="22">
        <v>900</v>
      </c>
      <c r="P161" s="22">
        <v>330</v>
      </c>
      <c r="Q161" s="14" t="s">
        <v>432</v>
      </c>
      <c r="R161" s="14" t="s">
        <v>431</v>
      </c>
      <c r="S161" s="14">
        <v>2</v>
      </c>
      <c r="T161" s="14">
        <v>895</v>
      </c>
      <c r="U161" s="14">
        <v>595</v>
      </c>
      <c r="V161" s="14"/>
      <c r="W161" s="14"/>
      <c r="X161" s="14"/>
      <c r="Y161" s="14"/>
      <c r="Z161" s="14"/>
      <c r="AA161" s="14"/>
      <c r="AB161" s="14"/>
      <c r="AC161" s="14"/>
      <c r="AD161" s="14"/>
    </row>
    <row r="162" spans="1:30" x14ac:dyDescent="0.25">
      <c r="A162" s="14"/>
      <c r="B162" s="25" t="s">
        <v>190</v>
      </c>
      <c r="C162" s="50"/>
      <c r="D162" s="16"/>
      <c r="E162" s="16"/>
      <c r="F162" s="16"/>
      <c r="G162" s="27"/>
      <c r="H162" s="16"/>
      <c r="I162" s="19"/>
      <c r="J162" s="16"/>
      <c r="K162" s="20"/>
      <c r="L162" s="16"/>
      <c r="M162" s="21"/>
      <c r="N162" s="22"/>
      <c r="O162" s="22"/>
      <c r="P162" s="22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 spans="1:30" x14ac:dyDescent="0.25">
      <c r="A163" s="14" t="s">
        <v>191</v>
      </c>
      <c r="B163" s="32" t="s">
        <v>434</v>
      </c>
      <c r="C163" s="50">
        <v>34.1</v>
      </c>
      <c r="D163" s="16">
        <f t="shared" ref="D163:D166" si="47">PRODUCT(C163,$D$1)</f>
        <v>91.046999999999997</v>
      </c>
      <c r="E163" s="16"/>
      <c r="F163" s="16"/>
      <c r="G163" s="27">
        <f>D163+E163</f>
        <v>91.046999999999997</v>
      </c>
      <c r="H163" s="16"/>
      <c r="I163" s="19"/>
      <c r="J163" s="16"/>
      <c r="K163" s="20"/>
      <c r="L163" s="16"/>
      <c r="M163" s="21"/>
      <c r="N163" s="22">
        <v>600</v>
      </c>
      <c r="O163" s="22">
        <v>720</v>
      </c>
      <c r="P163" s="22">
        <v>330</v>
      </c>
      <c r="Q163" s="14" t="s">
        <v>432</v>
      </c>
      <c r="R163" s="14" t="s">
        <v>423</v>
      </c>
      <c r="S163" s="14">
        <v>1</v>
      </c>
      <c r="T163" s="14">
        <v>715</v>
      </c>
      <c r="U163" s="14">
        <v>295</v>
      </c>
      <c r="V163" s="14"/>
      <c r="W163" s="14"/>
      <c r="X163" s="14"/>
      <c r="Y163" s="14"/>
      <c r="Z163" s="14"/>
      <c r="AA163" s="14"/>
      <c r="AB163" s="14"/>
      <c r="AC163" s="14"/>
      <c r="AD163" s="14"/>
    </row>
    <row r="164" spans="1:30" x14ac:dyDescent="0.25">
      <c r="A164" s="14" t="s">
        <v>192</v>
      </c>
      <c r="B164" s="32" t="s">
        <v>435</v>
      </c>
      <c r="C164" s="50">
        <v>36.299999999999997</v>
      </c>
      <c r="D164" s="16">
        <f t="shared" si="47"/>
        <v>96.920999999999992</v>
      </c>
      <c r="E164" s="16"/>
      <c r="F164" s="16"/>
      <c r="G164" s="27">
        <f>D164+E164</f>
        <v>96.920999999999992</v>
      </c>
      <c r="H164" s="16"/>
      <c r="I164" s="19"/>
      <c r="J164" s="16"/>
      <c r="K164" s="20"/>
      <c r="L164" s="16"/>
      <c r="M164" s="21"/>
      <c r="N164" s="22">
        <v>700</v>
      </c>
      <c r="O164" s="22">
        <v>720</v>
      </c>
      <c r="P164" s="22">
        <v>330</v>
      </c>
      <c r="Q164" s="14" t="s">
        <v>432</v>
      </c>
      <c r="R164" s="14" t="s">
        <v>423</v>
      </c>
      <c r="S164" s="14">
        <v>1</v>
      </c>
      <c r="T164" s="14">
        <v>715</v>
      </c>
      <c r="U164" s="14">
        <v>395</v>
      </c>
      <c r="V164" s="14"/>
      <c r="W164" s="14"/>
      <c r="X164" s="14"/>
      <c r="Y164" s="14"/>
      <c r="Z164" s="14"/>
      <c r="AA164" s="14"/>
      <c r="AB164" s="14"/>
      <c r="AC164" s="14"/>
      <c r="AD164" s="14"/>
    </row>
    <row r="165" spans="1:30" x14ac:dyDescent="0.25">
      <c r="A165" s="14" t="s">
        <v>193</v>
      </c>
      <c r="B165" s="32" t="s">
        <v>436</v>
      </c>
      <c r="C165" s="50">
        <v>37.4</v>
      </c>
      <c r="D165" s="16">
        <f t="shared" si="47"/>
        <v>99.85799999999999</v>
      </c>
      <c r="E165" s="16"/>
      <c r="F165" s="16"/>
      <c r="G165" s="27">
        <f>D165+E165</f>
        <v>99.85799999999999</v>
      </c>
      <c r="H165" s="16"/>
      <c r="I165" s="19"/>
      <c r="J165" s="16"/>
      <c r="K165" s="20"/>
      <c r="L165" s="16"/>
      <c r="M165" s="21"/>
      <c r="N165" s="22">
        <v>800</v>
      </c>
      <c r="O165" s="22">
        <v>720</v>
      </c>
      <c r="P165" s="22">
        <v>330</v>
      </c>
      <c r="Q165" s="14" t="s">
        <v>432</v>
      </c>
      <c r="R165" s="14" t="s">
        <v>423</v>
      </c>
      <c r="S165" s="14">
        <v>1</v>
      </c>
      <c r="T165" s="14">
        <v>715</v>
      </c>
      <c r="U165" s="14">
        <v>495</v>
      </c>
      <c r="V165" s="14"/>
      <c r="W165" s="14"/>
      <c r="X165" s="14"/>
      <c r="Y165" s="14"/>
      <c r="Z165" s="14"/>
      <c r="AA165" s="14"/>
      <c r="AB165" s="14"/>
      <c r="AC165" s="14"/>
      <c r="AD165" s="14"/>
    </row>
    <row r="166" spans="1:30" x14ac:dyDescent="0.25">
      <c r="A166" s="14" t="s">
        <v>194</v>
      </c>
      <c r="B166" s="32" t="s">
        <v>437</v>
      </c>
      <c r="C166" s="50">
        <v>38.5</v>
      </c>
      <c r="D166" s="16">
        <f t="shared" si="47"/>
        <v>102.795</v>
      </c>
      <c r="E166" s="16"/>
      <c r="F166" s="16"/>
      <c r="G166" s="27">
        <f>D166+E166</f>
        <v>102.795</v>
      </c>
      <c r="H166" s="16"/>
      <c r="I166" s="19"/>
      <c r="J166" s="16"/>
      <c r="K166" s="20"/>
      <c r="L166" s="16"/>
      <c r="M166" s="21"/>
      <c r="N166" s="22">
        <v>900</v>
      </c>
      <c r="O166" s="22">
        <v>720</v>
      </c>
      <c r="P166" s="22">
        <v>330</v>
      </c>
      <c r="Q166" s="14" t="s">
        <v>432</v>
      </c>
      <c r="R166" s="14" t="s">
        <v>423</v>
      </c>
      <c r="S166" s="14">
        <v>1</v>
      </c>
      <c r="T166" s="14">
        <v>715</v>
      </c>
      <c r="U166" s="14">
        <v>595</v>
      </c>
      <c r="V166" s="14"/>
      <c r="W166" s="14"/>
      <c r="X166" s="14"/>
      <c r="Y166" s="14"/>
      <c r="Z166" s="14"/>
      <c r="AA166" s="14"/>
      <c r="AB166" s="14"/>
      <c r="AC166" s="14"/>
      <c r="AD166" s="14"/>
    </row>
    <row r="167" spans="1:30" x14ac:dyDescent="0.25">
      <c r="A167" s="14"/>
      <c r="B167" s="25" t="s">
        <v>195</v>
      </c>
      <c r="C167" s="70"/>
      <c r="D167" s="28"/>
      <c r="E167" s="28"/>
      <c r="F167" s="28"/>
      <c r="G167" s="27"/>
      <c r="H167" s="28"/>
      <c r="I167" s="82"/>
      <c r="J167" s="28"/>
      <c r="K167" s="30"/>
      <c r="L167" s="28"/>
      <c r="M167" s="31"/>
      <c r="N167" s="32"/>
      <c r="O167" s="32"/>
      <c r="P167" s="32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 spans="1:30" x14ac:dyDescent="0.25">
      <c r="A168" s="14" t="s">
        <v>196</v>
      </c>
      <c r="B168" s="15" t="s">
        <v>508</v>
      </c>
      <c r="C168" s="50">
        <v>45.1</v>
      </c>
      <c r="D168" s="16">
        <f t="shared" ref="D168:D169" si="48">PRODUCT(C168,$D$1)</f>
        <v>120.417</v>
      </c>
      <c r="E168" s="16"/>
      <c r="F168" s="16"/>
      <c r="G168" s="27">
        <f>D168+E168</f>
        <v>120.417</v>
      </c>
      <c r="H168" s="16"/>
      <c r="I168" s="19"/>
      <c r="J168" s="16"/>
      <c r="K168" s="20"/>
      <c r="L168" s="16"/>
      <c r="M168" s="21"/>
      <c r="N168" s="22">
        <v>600</v>
      </c>
      <c r="O168" s="22">
        <v>720</v>
      </c>
      <c r="P168" s="22">
        <v>600</v>
      </c>
      <c r="Q168" s="14" t="s">
        <v>432</v>
      </c>
      <c r="R168" s="14" t="s">
        <v>423</v>
      </c>
      <c r="S168" s="14">
        <v>1</v>
      </c>
      <c r="T168" s="14">
        <v>715</v>
      </c>
      <c r="U168" s="14">
        <v>395</v>
      </c>
      <c r="V168" s="14"/>
      <c r="W168" s="14"/>
      <c r="X168" s="14"/>
      <c r="Y168" s="14"/>
      <c r="Z168" s="14"/>
      <c r="AA168" s="14"/>
      <c r="AB168" s="14"/>
      <c r="AC168" s="14"/>
      <c r="AD168" s="14"/>
    </row>
    <row r="169" spans="1:30" x14ac:dyDescent="0.25">
      <c r="A169" s="14" t="s">
        <v>197</v>
      </c>
      <c r="B169" s="15" t="s">
        <v>509</v>
      </c>
      <c r="C169" s="50">
        <v>47.3</v>
      </c>
      <c r="D169" s="16">
        <f t="shared" si="48"/>
        <v>126.29099999999998</v>
      </c>
      <c r="E169" s="16"/>
      <c r="F169" s="16"/>
      <c r="G169" s="27">
        <f>D169+E169</f>
        <v>126.29099999999998</v>
      </c>
      <c r="H169" s="16"/>
      <c r="I169" s="19"/>
      <c r="J169" s="16"/>
      <c r="K169" s="20"/>
      <c r="L169" s="16"/>
      <c r="M169" s="21"/>
      <c r="N169" s="22">
        <v>600</v>
      </c>
      <c r="O169" s="22">
        <v>720</v>
      </c>
      <c r="P169" s="22">
        <v>600</v>
      </c>
      <c r="Q169" s="14" t="s">
        <v>432</v>
      </c>
      <c r="R169" s="14" t="s">
        <v>423</v>
      </c>
      <c r="S169" s="14">
        <v>1</v>
      </c>
      <c r="T169" s="14">
        <v>715</v>
      </c>
      <c r="U169" s="14">
        <v>265</v>
      </c>
      <c r="V169" s="14">
        <v>1</v>
      </c>
      <c r="W169" s="14">
        <v>715</v>
      </c>
      <c r="X169" s="14">
        <v>245</v>
      </c>
      <c r="Y169" s="14"/>
      <c r="Z169" s="14"/>
      <c r="AA169" s="14"/>
      <c r="AB169" s="14"/>
      <c r="AC169" s="14"/>
      <c r="AD169" s="14"/>
    </row>
    <row r="170" spans="1:30" x14ac:dyDescent="0.25">
      <c r="A170" s="14"/>
      <c r="B170" s="25" t="s">
        <v>154</v>
      </c>
      <c r="C170" s="50"/>
      <c r="D170" s="16"/>
      <c r="E170" s="16"/>
      <c r="F170" s="16"/>
      <c r="G170" s="27"/>
      <c r="H170" s="16"/>
      <c r="I170" s="19"/>
      <c r="J170" s="16"/>
      <c r="K170" s="20"/>
      <c r="L170" s="16"/>
      <c r="M170" s="21"/>
      <c r="N170" s="22"/>
      <c r="O170" s="22"/>
      <c r="P170" s="22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 spans="1:30" x14ac:dyDescent="0.25">
      <c r="A171" s="14" t="s">
        <v>198</v>
      </c>
      <c r="B171" s="15" t="s">
        <v>199</v>
      </c>
      <c r="C171" s="50">
        <v>4.4000000000000004</v>
      </c>
      <c r="D171" s="16">
        <f t="shared" ref="D171:D174" si="49">PRODUCT(C171,$D$1)</f>
        <v>11.748000000000001</v>
      </c>
      <c r="E171" s="16"/>
      <c r="F171" s="16"/>
      <c r="G171" s="27">
        <f t="shared" ref="G171:G192" si="50">D171+E171</f>
        <v>11.748000000000001</v>
      </c>
      <c r="H171" s="16"/>
      <c r="I171" s="19"/>
      <c r="J171" s="16"/>
      <c r="K171" s="20"/>
      <c r="L171" s="16"/>
      <c r="M171" s="21"/>
      <c r="N171" s="22"/>
      <c r="O171" s="22"/>
      <c r="P171" s="22"/>
      <c r="Q171" s="14" t="s">
        <v>480</v>
      </c>
      <c r="R171" s="14" t="s">
        <v>481</v>
      </c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spans="1:30" x14ac:dyDescent="0.25">
      <c r="A172" s="14" t="s">
        <v>200</v>
      </c>
      <c r="B172" s="15" t="s">
        <v>201</v>
      </c>
      <c r="C172" s="50">
        <v>7.7</v>
      </c>
      <c r="D172" s="16">
        <f t="shared" si="49"/>
        <v>20.559000000000001</v>
      </c>
      <c r="E172" s="16"/>
      <c r="F172" s="16"/>
      <c r="G172" s="27">
        <f t="shared" si="50"/>
        <v>20.559000000000001</v>
      </c>
      <c r="H172" s="16"/>
      <c r="I172" s="19"/>
      <c r="J172" s="16"/>
      <c r="K172" s="20"/>
      <c r="L172" s="16"/>
      <c r="M172" s="21"/>
      <c r="N172" s="22"/>
      <c r="O172" s="22"/>
      <c r="P172" s="22"/>
      <c r="Q172" s="14" t="s">
        <v>480</v>
      </c>
      <c r="R172" s="14" t="s">
        <v>481</v>
      </c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spans="1:30" x14ac:dyDescent="0.25">
      <c r="A173" s="14" t="s">
        <v>202</v>
      </c>
      <c r="B173" s="15" t="s">
        <v>203</v>
      </c>
      <c r="C173" s="50">
        <v>4.4000000000000004</v>
      </c>
      <c r="D173" s="16">
        <f t="shared" si="49"/>
        <v>11.748000000000001</v>
      </c>
      <c r="E173" s="16"/>
      <c r="F173" s="16"/>
      <c r="G173" s="27">
        <f t="shared" si="50"/>
        <v>11.748000000000001</v>
      </c>
      <c r="H173" s="16"/>
      <c r="I173" s="19"/>
      <c r="J173" s="16"/>
      <c r="K173" s="20"/>
      <c r="L173" s="16"/>
      <c r="M173" s="21"/>
      <c r="N173" s="22"/>
      <c r="O173" s="22"/>
      <c r="P173" s="22"/>
      <c r="Q173" s="14" t="s">
        <v>480</v>
      </c>
      <c r="R173" s="14" t="s">
        <v>481</v>
      </c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 spans="1:30" x14ac:dyDescent="0.25">
      <c r="A174" s="14" t="s">
        <v>204</v>
      </c>
      <c r="B174" s="15" t="s">
        <v>205</v>
      </c>
      <c r="C174" s="50">
        <v>5.5</v>
      </c>
      <c r="D174" s="16">
        <f t="shared" si="49"/>
        <v>14.684999999999999</v>
      </c>
      <c r="E174" s="16"/>
      <c r="F174" s="16"/>
      <c r="G174" s="27">
        <f t="shared" si="50"/>
        <v>14.684999999999999</v>
      </c>
      <c r="H174" s="16"/>
      <c r="I174" s="19"/>
      <c r="J174" s="16"/>
      <c r="K174" s="20"/>
      <c r="L174" s="16"/>
      <c r="M174" s="21"/>
      <c r="N174" s="22"/>
      <c r="O174" s="22"/>
      <c r="P174" s="22"/>
      <c r="Q174" s="14" t="s">
        <v>480</v>
      </c>
      <c r="R174" s="14" t="s">
        <v>481</v>
      </c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spans="1:30" x14ac:dyDescent="0.25">
      <c r="A175" s="14" t="s">
        <v>206</v>
      </c>
      <c r="B175" s="15" t="s">
        <v>207</v>
      </c>
      <c r="C175" s="50">
        <v>11</v>
      </c>
      <c r="D175" s="16">
        <f t="shared" ref="D175:D192" si="51">PRODUCT(C175,$D$1)</f>
        <v>29.369999999999997</v>
      </c>
      <c r="E175" s="16"/>
      <c r="F175" s="16"/>
      <c r="G175" s="27">
        <f t="shared" si="50"/>
        <v>29.369999999999997</v>
      </c>
      <c r="H175" s="16"/>
      <c r="I175" s="19"/>
      <c r="J175" s="16"/>
      <c r="K175" s="20"/>
      <c r="L175" s="16"/>
      <c r="M175" s="21"/>
      <c r="N175" s="22">
        <v>600</v>
      </c>
      <c r="O175" s="22">
        <v>900</v>
      </c>
      <c r="P175" s="22">
        <v>18</v>
      </c>
      <c r="Q175" s="14" t="s">
        <v>454</v>
      </c>
      <c r="R175" s="14" t="s">
        <v>442</v>
      </c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spans="1:30" x14ac:dyDescent="0.25">
      <c r="A176" s="14" t="s">
        <v>208</v>
      </c>
      <c r="B176" s="15" t="s">
        <v>209</v>
      </c>
      <c r="C176" s="50">
        <v>25.3</v>
      </c>
      <c r="D176" s="16">
        <f t="shared" si="51"/>
        <v>67.551000000000002</v>
      </c>
      <c r="E176" s="16"/>
      <c r="F176" s="16"/>
      <c r="G176" s="27">
        <f t="shared" si="50"/>
        <v>67.551000000000002</v>
      </c>
      <c r="H176" s="16"/>
      <c r="I176" s="19"/>
      <c r="J176" s="16"/>
      <c r="K176" s="20"/>
      <c r="L176" s="16"/>
      <c r="M176" s="21"/>
      <c r="N176" s="22">
        <v>600</v>
      </c>
      <c r="O176" s="22">
        <v>2000</v>
      </c>
      <c r="P176" s="22">
        <v>18</v>
      </c>
      <c r="Q176" s="14" t="s">
        <v>454</v>
      </c>
      <c r="R176" s="14" t="s">
        <v>442</v>
      </c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 spans="1:30" x14ac:dyDescent="0.25">
      <c r="A177" s="14" t="s">
        <v>210</v>
      </c>
      <c r="B177" s="15" t="s">
        <v>211</v>
      </c>
      <c r="C177" s="50">
        <v>27.5</v>
      </c>
      <c r="D177" s="16">
        <f t="shared" si="51"/>
        <v>73.424999999999997</v>
      </c>
      <c r="E177" s="16"/>
      <c r="F177" s="16"/>
      <c r="G177" s="27">
        <f t="shared" si="50"/>
        <v>73.424999999999997</v>
      </c>
      <c r="H177" s="16"/>
      <c r="I177" s="19"/>
      <c r="J177" s="16"/>
      <c r="K177" s="20"/>
      <c r="L177" s="16"/>
      <c r="M177" s="21"/>
      <c r="N177" s="22">
        <v>600</v>
      </c>
      <c r="O177" s="22">
        <v>2150</v>
      </c>
      <c r="P177" s="22">
        <v>18</v>
      </c>
      <c r="Q177" s="14" t="s">
        <v>454</v>
      </c>
      <c r="R177" s="14" t="s">
        <v>442</v>
      </c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spans="1:30" x14ac:dyDescent="0.25">
      <c r="A178" s="14" t="s">
        <v>212</v>
      </c>
      <c r="B178" s="15" t="s">
        <v>213</v>
      </c>
      <c r="C178" s="50">
        <v>29.7</v>
      </c>
      <c r="D178" s="16">
        <f t="shared" si="51"/>
        <v>79.298999999999992</v>
      </c>
      <c r="E178" s="16"/>
      <c r="F178" s="16"/>
      <c r="G178" s="27">
        <f t="shared" si="50"/>
        <v>79.298999999999992</v>
      </c>
      <c r="H178" s="16"/>
      <c r="I178" s="19"/>
      <c r="J178" s="16"/>
      <c r="K178" s="20"/>
      <c r="L178" s="16"/>
      <c r="M178" s="21"/>
      <c r="N178" s="22">
        <v>600</v>
      </c>
      <c r="O178" s="22">
        <v>2300</v>
      </c>
      <c r="P178" s="22">
        <v>18</v>
      </c>
      <c r="Q178" s="14" t="s">
        <v>454</v>
      </c>
      <c r="R178" s="14" t="s">
        <v>442</v>
      </c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 spans="1:30" x14ac:dyDescent="0.25">
      <c r="A179" s="14" t="s">
        <v>214</v>
      </c>
      <c r="B179" s="15" t="s">
        <v>215</v>
      </c>
      <c r="C179" s="50">
        <v>4.4000000000000004</v>
      </c>
      <c r="D179" s="16">
        <f t="shared" si="51"/>
        <v>11.748000000000001</v>
      </c>
      <c r="E179" s="16"/>
      <c r="F179" s="16"/>
      <c r="G179" s="27">
        <f t="shared" si="50"/>
        <v>11.748000000000001</v>
      </c>
      <c r="H179" s="16"/>
      <c r="I179" s="19"/>
      <c r="J179" s="16"/>
      <c r="K179" s="20"/>
      <c r="L179" s="16"/>
      <c r="M179" s="21"/>
      <c r="N179" s="22">
        <v>300</v>
      </c>
      <c r="O179" s="22">
        <v>575</v>
      </c>
      <c r="P179" s="22">
        <v>18</v>
      </c>
      <c r="Q179" s="14" t="s">
        <v>454</v>
      </c>
      <c r="R179" s="14" t="s">
        <v>442</v>
      </c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x14ac:dyDescent="0.25">
      <c r="A180" s="14" t="s">
        <v>216</v>
      </c>
      <c r="B180" s="15" t="s">
        <v>217</v>
      </c>
      <c r="C180" s="50">
        <v>5.5</v>
      </c>
      <c r="D180" s="16">
        <f t="shared" si="51"/>
        <v>14.684999999999999</v>
      </c>
      <c r="E180" s="16"/>
      <c r="F180" s="16"/>
      <c r="G180" s="27">
        <f t="shared" si="50"/>
        <v>14.684999999999999</v>
      </c>
      <c r="H180" s="16"/>
      <c r="I180" s="19"/>
      <c r="J180" s="16"/>
      <c r="K180" s="20"/>
      <c r="L180" s="16"/>
      <c r="M180" s="21"/>
      <c r="N180" s="22">
        <v>300</v>
      </c>
      <c r="O180" s="22">
        <v>720</v>
      </c>
      <c r="P180" s="22">
        <v>18</v>
      </c>
      <c r="Q180" s="14" t="s">
        <v>454</v>
      </c>
      <c r="R180" s="14" t="s">
        <v>442</v>
      </c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 spans="1:30" x14ac:dyDescent="0.25">
      <c r="A181" s="14" t="s">
        <v>218</v>
      </c>
      <c r="B181" s="15" t="s">
        <v>219</v>
      </c>
      <c r="C181" s="50">
        <v>6.6</v>
      </c>
      <c r="D181" s="16">
        <f t="shared" si="51"/>
        <v>17.622</v>
      </c>
      <c r="E181" s="16"/>
      <c r="F181" s="16"/>
      <c r="G181" s="27">
        <f t="shared" si="50"/>
        <v>17.622</v>
      </c>
      <c r="H181" s="16"/>
      <c r="I181" s="19"/>
      <c r="J181" s="16"/>
      <c r="K181" s="20"/>
      <c r="L181" s="16"/>
      <c r="M181" s="21"/>
      <c r="N181" s="22">
        <v>300</v>
      </c>
      <c r="O181" s="22">
        <v>900</v>
      </c>
      <c r="P181" s="22">
        <v>18</v>
      </c>
      <c r="Q181" s="14" t="s">
        <v>454</v>
      </c>
      <c r="R181" s="14" t="s">
        <v>442</v>
      </c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 spans="1:30" x14ac:dyDescent="0.25">
      <c r="A182" s="14" t="s">
        <v>220</v>
      </c>
      <c r="B182" s="15" t="s">
        <v>221</v>
      </c>
      <c r="C182" s="50">
        <v>8.6999999999999993</v>
      </c>
      <c r="D182" s="16">
        <f t="shared" si="51"/>
        <v>23.228999999999999</v>
      </c>
      <c r="E182" s="16"/>
      <c r="F182" s="16"/>
      <c r="G182" s="27">
        <f t="shared" si="50"/>
        <v>23.228999999999999</v>
      </c>
      <c r="H182" s="16"/>
      <c r="I182" s="19"/>
      <c r="J182" s="16"/>
      <c r="K182" s="20"/>
      <c r="L182" s="16"/>
      <c r="M182" s="21"/>
      <c r="N182" s="22">
        <v>350</v>
      </c>
      <c r="O182" s="22">
        <v>1250</v>
      </c>
      <c r="P182" s="22">
        <v>18</v>
      </c>
      <c r="Q182" s="14" t="s">
        <v>454</v>
      </c>
      <c r="R182" s="14" t="s">
        <v>442</v>
      </c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spans="1:30" x14ac:dyDescent="0.25">
      <c r="A183" s="14" t="s">
        <v>222</v>
      </c>
      <c r="B183" s="15" t="s">
        <v>223</v>
      </c>
      <c r="C183" s="50">
        <v>1.65</v>
      </c>
      <c r="D183" s="16">
        <f t="shared" si="51"/>
        <v>4.4055</v>
      </c>
      <c r="E183" s="16"/>
      <c r="F183" s="16"/>
      <c r="G183" s="27">
        <f t="shared" si="50"/>
        <v>4.4055</v>
      </c>
      <c r="H183" s="16"/>
      <c r="I183" s="19"/>
      <c r="J183" s="16"/>
      <c r="K183" s="20"/>
      <c r="L183" s="16"/>
      <c r="M183" s="21"/>
      <c r="N183" s="22">
        <v>100</v>
      </c>
      <c r="O183" s="22">
        <v>575</v>
      </c>
      <c r="P183" s="22">
        <v>18</v>
      </c>
      <c r="Q183" s="14" t="s">
        <v>454</v>
      </c>
      <c r="R183" s="14" t="s">
        <v>443</v>
      </c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spans="1:30" x14ac:dyDescent="0.25">
      <c r="A184" s="14" t="s">
        <v>224</v>
      </c>
      <c r="B184" s="15" t="s">
        <v>225</v>
      </c>
      <c r="C184" s="50">
        <v>1.65</v>
      </c>
      <c r="D184" s="16">
        <f t="shared" si="51"/>
        <v>4.4055</v>
      </c>
      <c r="E184" s="16"/>
      <c r="F184" s="16"/>
      <c r="G184" s="27">
        <f t="shared" si="50"/>
        <v>4.4055</v>
      </c>
      <c r="H184" s="16"/>
      <c r="I184" s="19"/>
      <c r="J184" s="16"/>
      <c r="K184" s="20"/>
      <c r="L184" s="16"/>
      <c r="M184" s="21"/>
      <c r="N184" s="22">
        <v>100</v>
      </c>
      <c r="O184" s="22">
        <v>720</v>
      </c>
      <c r="P184" s="22">
        <v>18</v>
      </c>
      <c r="Q184" s="14" t="s">
        <v>454</v>
      </c>
      <c r="R184" s="14" t="s">
        <v>443</v>
      </c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spans="1:30" x14ac:dyDescent="0.25">
      <c r="A185" s="14" t="s">
        <v>226</v>
      </c>
      <c r="B185" s="15" t="s">
        <v>227</v>
      </c>
      <c r="C185" s="50">
        <v>2.2000000000000002</v>
      </c>
      <c r="D185" s="16">
        <f t="shared" si="51"/>
        <v>5.8740000000000006</v>
      </c>
      <c r="E185" s="16"/>
      <c r="F185" s="16"/>
      <c r="G185" s="27">
        <f t="shared" si="50"/>
        <v>5.8740000000000006</v>
      </c>
      <c r="H185" s="16"/>
      <c r="I185" s="19"/>
      <c r="J185" s="16"/>
      <c r="K185" s="20"/>
      <c r="L185" s="16"/>
      <c r="M185" s="21"/>
      <c r="N185" s="22">
        <v>100</v>
      </c>
      <c r="O185" s="22">
        <v>900</v>
      </c>
      <c r="P185" s="22">
        <v>18</v>
      </c>
      <c r="Q185" s="14" t="s">
        <v>454</v>
      </c>
      <c r="R185" s="14" t="s">
        <v>443</v>
      </c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spans="1:30" x14ac:dyDescent="0.25">
      <c r="A186" s="14" t="s">
        <v>228</v>
      </c>
      <c r="B186" s="15" t="s">
        <v>229</v>
      </c>
      <c r="C186" s="50">
        <v>2.75</v>
      </c>
      <c r="D186" s="16">
        <f t="shared" si="51"/>
        <v>7.3424999999999994</v>
      </c>
      <c r="E186" s="16"/>
      <c r="F186" s="16"/>
      <c r="G186" s="27">
        <f t="shared" si="50"/>
        <v>7.3424999999999994</v>
      </c>
      <c r="H186" s="16"/>
      <c r="I186" s="19"/>
      <c r="J186" s="16"/>
      <c r="K186" s="20"/>
      <c r="L186" s="16"/>
      <c r="M186" s="21"/>
      <c r="N186" s="22">
        <v>100</v>
      </c>
      <c r="O186" s="22">
        <v>1065</v>
      </c>
      <c r="P186" s="22">
        <v>18</v>
      </c>
      <c r="Q186" s="14" t="s">
        <v>454</v>
      </c>
      <c r="R186" s="14" t="s">
        <v>443</v>
      </c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spans="1:30" x14ac:dyDescent="0.25">
      <c r="A187" s="14" t="s">
        <v>230</v>
      </c>
      <c r="B187" s="15" t="s">
        <v>231</v>
      </c>
      <c r="C187" s="50">
        <v>2.75</v>
      </c>
      <c r="D187" s="16">
        <f t="shared" si="51"/>
        <v>7.3424999999999994</v>
      </c>
      <c r="E187" s="16"/>
      <c r="F187" s="16"/>
      <c r="G187" s="27">
        <f t="shared" si="50"/>
        <v>7.3424999999999994</v>
      </c>
      <c r="H187" s="16"/>
      <c r="I187" s="19"/>
      <c r="J187" s="16"/>
      <c r="K187" s="20"/>
      <c r="L187" s="16"/>
      <c r="M187" s="21"/>
      <c r="N187" s="22">
        <v>100</v>
      </c>
      <c r="O187" s="22">
        <v>1210</v>
      </c>
      <c r="P187" s="22">
        <v>18</v>
      </c>
      <c r="Q187" s="14" t="s">
        <v>454</v>
      </c>
      <c r="R187" s="14" t="s">
        <v>443</v>
      </c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spans="1:30" x14ac:dyDescent="0.25">
      <c r="A188" s="14" t="s">
        <v>232</v>
      </c>
      <c r="B188" s="15" t="s">
        <v>233</v>
      </c>
      <c r="C188" s="50">
        <v>3.3</v>
      </c>
      <c r="D188" s="16">
        <f t="shared" si="51"/>
        <v>8.8109999999999999</v>
      </c>
      <c r="E188" s="16"/>
      <c r="F188" s="16"/>
      <c r="G188" s="27">
        <f t="shared" si="50"/>
        <v>8.8109999999999999</v>
      </c>
      <c r="H188" s="16"/>
      <c r="I188" s="19"/>
      <c r="J188" s="16"/>
      <c r="K188" s="20"/>
      <c r="L188" s="16"/>
      <c r="M188" s="21"/>
      <c r="N188" s="22">
        <v>100</v>
      </c>
      <c r="O188" s="22">
        <v>1390</v>
      </c>
      <c r="P188" s="22">
        <v>18</v>
      </c>
      <c r="Q188" s="14" t="s">
        <v>454</v>
      </c>
      <c r="R188" s="14" t="s">
        <v>443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x14ac:dyDescent="0.25">
      <c r="A189" s="14" t="s">
        <v>234</v>
      </c>
      <c r="B189" s="15" t="s">
        <v>235</v>
      </c>
      <c r="C189" s="50">
        <v>4.4000000000000004</v>
      </c>
      <c r="D189" s="16">
        <f t="shared" si="51"/>
        <v>11.748000000000001</v>
      </c>
      <c r="E189" s="16"/>
      <c r="F189" s="16"/>
      <c r="G189" s="27">
        <f t="shared" si="50"/>
        <v>11.748000000000001</v>
      </c>
      <c r="H189" s="16"/>
      <c r="I189" s="19"/>
      <c r="J189" s="16"/>
      <c r="K189" s="20"/>
      <c r="L189" s="16"/>
      <c r="M189" s="21"/>
      <c r="N189" s="22">
        <v>100</v>
      </c>
      <c r="O189" s="22">
        <v>1825</v>
      </c>
      <c r="P189" s="22">
        <v>18</v>
      </c>
      <c r="Q189" s="14" t="s">
        <v>454</v>
      </c>
      <c r="R189" s="14" t="s">
        <v>443</v>
      </c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spans="1:30" x14ac:dyDescent="0.25">
      <c r="A190" s="14" t="s">
        <v>236</v>
      </c>
      <c r="B190" s="15" t="s">
        <v>237</v>
      </c>
      <c r="C190" s="50">
        <v>5.5</v>
      </c>
      <c r="D190" s="16">
        <f t="shared" si="51"/>
        <v>14.684999999999999</v>
      </c>
      <c r="E190" s="16"/>
      <c r="F190" s="16"/>
      <c r="G190" s="27">
        <f t="shared" si="50"/>
        <v>14.684999999999999</v>
      </c>
      <c r="H190" s="16"/>
      <c r="I190" s="19"/>
      <c r="J190" s="16"/>
      <c r="K190" s="20"/>
      <c r="L190" s="16"/>
      <c r="M190" s="21"/>
      <c r="N190" s="22">
        <v>100</v>
      </c>
      <c r="O190" s="22">
        <v>1970</v>
      </c>
      <c r="P190" s="22">
        <v>18</v>
      </c>
      <c r="Q190" s="14" t="s">
        <v>454</v>
      </c>
      <c r="R190" s="14" t="s">
        <v>443</v>
      </c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spans="1:30" x14ac:dyDescent="0.25">
      <c r="A191" s="14" t="s">
        <v>238</v>
      </c>
      <c r="B191" s="15" t="s">
        <v>239</v>
      </c>
      <c r="C191" s="50">
        <v>5.5</v>
      </c>
      <c r="D191" s="16">
        <f t="shared" si="51"/>
        <v>14.684999999999999</v>
      </c>
      <c r="E191" s="16"/>
      <c r="F191" s="16"/>
      <c r="G191" s="27">
        <f t="shared" si="50"/>
        <v>14.684999999999999</v>
      </c>
      <c r="H191" s="16"/>
      <c r="I191" s="19"/>
      <c r="J191" s="16"/>
      <c r="K191" s="20"/>
      <c r="L191" s="16"/>
      <c r="M191" s="21"/>
      <c r="N191" s="22">
        <v>100</v>
      </c>
      <c r="O191" s="22">
        <v>2150</v>
      </c>
      <c r="P191" s="22">
        <v>18</v>
      </c>
      <c r="Q191" s="14" t="s">
        <v>454</v>
      </c>
      <c r="R191" s="14" t="s">
        <v>443</v>
      </c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spans="1:30" x14ac:dyDescent="0.25">
      <c r="A192" s="14" t="s">
        <v>240</v>
      </c>
      <c r="B192" s="15" t="s">
        <v>241</v>
      </c>
      <c r="C192" s="50">
        <v>8.5</v>
      </c>
      <c r="D192" s="16">
        <f t="shared" si="51"/>
        <v>22.695</v>
      </c>
      <c r="E192" s="16"/>
      <c r="F192" s="16"/>
      <c r="G192" s="27">
        <f t="shared" si="50"/>
        <v>22.695</v>
      </c>
      <c r="H192" s="16"/>
      <c r="I192" s="19"/>
      <c r="J192" s="16"/>
      <c r="K192" s="20"/>
      <c r="L192" s="16"/>
      <c r="M192" s="21"/>
      <c r="N192" s="22">
        <v>2500</v>
      </c>
      <c r="O192" s="22">
        <v>100</v>
      </c>
      <c r="P192" s="22">
        <v>18</v>
      </c>
      <c r="Q192" s="14" t="s">
        <v>454</v>
      </c>
      <c r="R192" s="14" t="s">
        <v>455</v>
      </c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spans="1:30" x14ac:dyDescent="0.25">
      <c r="A193" s="14"/>
      <c r="B193" s="15"/>
      <c r="C193" s="50"/>
      <c r="D193" s="16"/>
      <c r="E193" s="16"/>
      <c r="F193" s="16"/>
      <c r="G193" s="27"/>
      <c r="H193" s="16"/>
      <c r="I193" s="19"/>
      <c r="J193" s="16"/>
      <c r="K193" s="20"/>
      <c r="L193" s="16"/>
      <c r="M193" s="21"/>
      <c r="N193" s="22"/>
      <c r="O193" s="22"/>
      <c r="P193" s="22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spans="1:30" x14ac:dyDescent="0.25">
      <c r="A194" s="14" t="s">
        <v>242</v>
      </c>
      <c r="B194" s="15" t="s">
        <v>243</v>
      </c>
      <c r="C194" s="50">
        <v>9.25</v>
      </c>
      <c r="D194" s="16">
        <f t="shared" ref="D194:D195" si="52">PRODUCT(C194,$D$1)</f>
        <v>24.697499999999998</v>
      </c>
      <c r="E194" s="16"/>
      <c r="F194" s="16"/>
      <c r="G194" s="27">
        <f t="shared" ref="G194:G201" si="53">D194+E194</f>
        <v>24.697499999999998</v>
      </c>
      <c r="H194" s="16"/>
      <c r="I194" s="19"/>
      <c r="J194" s="16"/>
      <c r="K194" s="20"/>
      <c r="L194" s="16"/>
      <c r="M194" s="21"/>
      <c r="N194" s="22"/>
      <c r="O194" s="22"/>
      <c r="P194" s="22"/>
      <c r="Q194" s="14" t="s">
        <v>543</v>
      </c>
      <c r="R194" s="14" t="s">
        <v>546</v>
      </c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spans="1:30" x14ac:dyDescent="0.25">
      <c r="A195" s="14" t="s">
        <v>244</v>
      </c>
      <c r="B195" s="15" t="s">
        <v>245</v>
      </c>
      <c r="C195" s="50">
        <v>13.25</v>
      </c>
      <c r="D195" s="16">
        <f t="shared" si="52"/>
        <v>35.377499999999998</v>
      </c>
      <c r="E195" s="16"/>
      <c r="F195" s="16"/>
      <c r="G195" s="27">
        <f t="shared" si="53"/>
        <v>35.377499999999998</v>
      </c>
      <c r="H195" s="16"/>
      <c r="I195" s="19"/>
      <c r="J195" s="16"/>
      <c r="K195" s="20"/>
      <c r="L195" s="16"/>
      <c r="M195" s="21"/>
      <c r="N195" s="22"/>
      <c r="O195" s="22"/>
      <c r="P195" s="22"/>
      <c r="Q195" s="14" t="s">
        <v>543</v>
      </c>
      <c r="R195" s="14" t="s">
        <v>546</v>
      </c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spans="1:30" x14ac:dyDescent="0.25">
      <c r="A196" s="14"/>
      <c r="B196" s="15"/>
      <c r="C196" s="50"/>
      <c r="D196" s="16"/>
      <c r="E196" s="16"/>
      <c r="F196" s="16"/>
      <c r="G196" s="27">
        <f t="shared" si="53"/>
        <v>0</v>
      </c>
      <c r="H196" s="16"/>
      <c r="I196" s="19"/>
      <c r="J196" s="16"/>
      <c r="K196" s="20"/>
      <c r="L196" s="16"/>
      <c r="M196" s="21"/>
      <c r="N196" s="22"/>
      <c r="O196" s="22"/>
      <c r="P196" s="22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spans="1:30" x14ac:dyDescent="0.25">
      <c r="A197" s="14" t="s">
        <v>539</v>
      </c>
      <c r="B197" s="15" t="s">
        <v>246</v>
      </c>
      <c r="C197" s="50">
        <v>30</v>
      </c>
      <c r="D197" s="16">
        <f t="shared" ref="D197:D201" si="54">PRODUCT(C197,$D$1)</f>
        <v>80.099999999999994</v>
      </c>
      <c r="E197" s="16"/>
      <c r="F197" s="16"/>
      <c r="G197" s="27">
        <f t="shared" si="53"/>
        <v>80.099999999999994</v>
      </c>
      <c r="H197" s="16"/>
      <c r="I197" s="19"/>
      <c r="J197" s="16"/>
      <c r="K197" s="20"/>
      <c r="L197" s="16"/>
      <c r="M197" s="21"/>
      <c r="N197" s="22"/>
      <c r="O197" s="22"/>
      <c r="P197" s="22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spans="1:30" x14ac:dyDescent="0.25">
      <c r="A198" s="14" t="s">
        <v>540</v>
      </c>
      <c r="B198" s="15" t="s">
        <v>247</v>
      </c>
      <c r="C198" s="50">
        <v>40</v>
      </c>
      <c r="D198" s="16">
        <f t="shared" si="54"/>
        <v>106.8</v>
      </c>
      <c r="E198" s="16"/>
      <c r="F198" s="16"/>
      <c r="G198" s="27">
        <f t="shared" si="53"/>
        <v>106.8</v>
      </c>
      <c r="H198" s="16"/>
      <c r="I198" s="19"/>
      <c r="J198" s="16"/>
      <c r="K198" s="20"/>
      <c r="L198" s="16"/>
      <c r="M198" s="21"/>
      <c r="N198" s="22"/>
      <c r="O198" s="22"/>
      <c r="P198" s="22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spans="1:30" x14ac:dyDescent="0.25">
      <c r="A199" s="14" t="s">
        <v>248</v>
      </c>
      <c r="B199" s="15" t="s">
        <v>249</v>
      </c>
      <c r="C199" s="50">
        <v>300</v>
      </c>
      <c r="D199" s="16">
        <f t="shared" si="54"/>
        <v>801</v>
      </c>
      <c r="E199" s="16"/>
      <c r="F199" s="16"/>
      <c r="G199" s="27">
        <f t="shared" si="53"/>
        <v>801</v>
      </c>
      <c r="H199" s="16"/>
      <c r="I199" s="19"/>
      <c r="J199" s="16"/>
      <c r="K199" s="20"/>
      <c r="L199" s="16"/>
      <c r="M199" s="21"/>
      <c r="N199" s="32">
        <v>600</v>
      </c>
      <c r="O199" s="32">
        <v>1210</v>
      </c>
      <c r="P199" s="32">
        <v>400</v>
      </c>
      <c r="Q199" s="14" t="s">
        <v>510</v>
      </c>
      <c r="R199" s="14" t="s">
        <v>544</v>
      </c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spans="1:30" x14ac:dyDescent="0.25">
      <c r="A200" s="14" t="s">
        <v>250</v>
      </c>
      <c r="B200" s="15" t="s">
        <v>251</v>
      </c>
      <c r="C200" s="50">
        <v>600</v>
      </c>
      <c r="D200" s="16">
        <f t="shared" si="54"/>
        <v>1602</v>
      </c>
      <c r="E200" s="16"/>
      <c r="F200" s="16"/>
      <c r="G200" s="27">
        <f t="shared" si="53"/>
        <v>1602</v>
      </c>
      <c r="H200" s="16"/>
      <c r="I200" s="19"/>
      <c r="J200" s="16"/>
      <c r="K200" s="20"/>
      <c r="L200" s="16"/>
      <c r="M200" s="21"/>
      <c r="N200" s="32">
        <v>600</v>
      </c>
      <c r="O200" s="32">
        <v>1210</v>
      </c>
      <c r="P200" s="32">
        <v>400</v>
      </c>
      <c r="Q200" s="14" t="s">
        <v>510</v>
      </c>
      <c r="R200" s="14" t="s">
        <v>544</v>
      </c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spans="1:30" x14ac:dyDescent="0.25">
      <c r="A201" s="14" t="s">
        <v>252</v>
      </c>
      <c r="B201" s="15" t="s">
        <v>253</v>
      </c>
      <c r="C201" s="50">
        <v>800</v>
      </c>
      <c r="D201" s="16">
        <f t="shared" si="54"/>
        <v>2136</v>
      </c>
      <c r="E201" s="16"/>
      <c r="F201" s="16"/>
      <c r="G201" s="27">
        <f t="shared" si="53"/>
        <v>2136</v>
      </c>
      <c r="H201" s="16"/>
      <c r="I201" s="19"/>
      <c r="J201" s="16"/>
      <c r="K201" s="20"/>
      <c r="L201" s="16"/>
      <c r="M201" s="21"/>
      <c r="N201" s="32">
        <v>900</v>
      </c>
      <c r="O201" s="32">
        <v>1210</v>
      </c>
      <c r="P201" s="32">
        <v>400</v>
      </c>
      <c r="Q201" s="14" t="s">
        <v>510</v>
      </c>
      <c r="R201" s="14" t="s">
        <v>544</v>
      </c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spans="1:30" x14ac:dyDescent="0.25">
      <c r="A202" s="14"/>
      <c r="B202" s="15"/>
      <c r="C202" s="50"/>
      <c r="D202" s="16"/>
      <c r="E202" s="16"/>
      <c r="F202" s="16"/>
      <c r="G202" s="27"/>
      <c r="H202" s="16"/>
      <c r="I202" s="19"/>
      <c r="J202" s="16"/>
      <c r="K202" s="20"/>
      <c r="L202" s="16"/>
      <c r="M202" s="21"/>
      <c r="N202" s="22"/>
      <c r="O202" s="22"/>
      <c r="P202" s="22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spans="1:30" x14ac:dyDescent="0.25">
      <c r="A203" s="14" t="s">
        <v>254</v>
      </c>
      <c r="B203" s="15" t="s">
        <v>511</v>
      </c>
      <c r="C203" s="50">
        <v>2.5</v>
      </c>
      <c r="D203" s="16">
        <f t="shared" ref="D203:D204" si="55">PRODUCT(C203,$D$1)</f>
        <v>6.6749999999999998</v>
      </c>
      <c r="E203" s="16"/>
      <c r="F203" s="16"/>
      <c r="G203" s="27">
        <f t="shared" ref="G203:G209" si="56">D203+E203</f>
        <v>6.6749999999999998</v>
      </c>
      <c r="H203" s="16"/>
      <c r="I203" s="19"/>
      <c r="J203" s="16"/>
      <c r="K203" s="20"/>
      <c r="L203" s="16"/>
      <c r="M203" s="21"/>
      <c r="N203" s="22"/>
      <c r="O203" s="22"/>
      <c r="P203" s="22"/>
      <c r="Q203" s="14" t="s">
        <v>543</v>
      </c>
      <c r="R203" s="14" t="s">
        <v>545</v>
      </c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spans="1:30" x14ac:dyDescent="0.25">
      <c r="A204" s="14" t="s">
        <v>255</v>
      </c>
      <c r="B204" s="15" t="s">
        <v>512</v>
      </c>
      <c r="C204" s="50">
        <v>4</v>
      </c>
      <c r="D204" s="16">
        <f t="shared" si="55"/>
        <v>10.68</v>
      </c>
      <c r="E204" s="16"/>
      <c r="F204" s="16"/>
      <c r="G204" s="27">
        <f t="shared" si="56"/>
        <v>10.68</v>
      </c>
      <c r="H204" s="16"/>
      <c r="I204" s="19"/>
      <c r="J204" s="16"/>
      <c r="K204" s="20"/>
      <c r="L204" s="16"/>
      <c r="M204" s="21"/>
      <c r="N204" s="22"/>
      <c r="O204" s="22"/>
      <c r="P204" s="22"/>
      <c r="Q204" s="14" t="s">
        <v>543</v>
      </c>
      <c r="R204" s="14" t="s">
        <v>545</v>
      </c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spans="1:30" x14ac:dyDescent="0.25">
      <c r="A205" s="14"/>
      <c r="B205" s="15"/>
      <c r="C205" s="70"/>
      <c r="D205" s="28"/>
      <c r="E205" s="28"/>
      <c r="F205" s="28"/>
      <c r="G205" s="27">
        <f t="shared" si="56"/>
        <v>0</v>
      </c>
      <c r="H205" s="28"/>
      <c r="I205" s="82"/>
      <c r="J205" s="28"/>
      <c r="K205" s="30"/>
      <c r="L205" s="28"/>
      <c r="M205" s="31"/>
      <c r="N205" s="32"/>
      <c r="O205" s="32"/>
      <c r="P205" s="32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spans="1:30" x14ac:dyDescent="0.25">
      <c r="A206" s="14" t="s">
        <v>256</v>
      </c>
      <c r="B206" s="32" t="s">
        <v>257</v>
      </c>
      <c r="C206" s="50">
        <v>42</v>
      </c>
      <c r="D206" s="16">
        <f t="shared" ref="D206:D209" si="57">PRODUCT(C206,$D$1)</f>
        <v>112.14</v>
      </c>
      <c r="E206" s="16"/>
      <c r="F206" s="16"/>
      <c r="G206" s="27">
        <f t="shared" si="56"/>
        <v>112.14</v>
      </c>
      <c r="H206" s="16"/>
      <c r="I206" s="19"/>
      <c r="J206" s="16"/>
      <c r="K206" s="20"/>
      <c r="L206" s="16"/>
      <c r="M206" s="21"/>
      <c r="N206" s="22">
        <v>300</v>
      </c>
      <c r="O206" s="22">
        <v>720</v>
      </c>
      <c r="P206" s="22">
        <v>300</v>
      </c>
      <c r="Q206" s="14" t="s">
        <v>456</v>
      </c>
      <c r="R206" s="14" t="s">
        <v>547</v>
      </c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spans="1:30" x14ac:dyDescent="0.25">
      <c r="A207" s="14" t="s">
        <v>258</v>
      </c>
      <c r="B207" s="32" t="s">
        <v>259</v>
      </c>
      <c r="C207" s="50">
        <v>42</v>
      </c>
      <c r="D207" s="16">
        <f t="shared" si="57"/>
        <v>112.14</v>
      </c>
      <c r="E207" s="16"/>
      <c r="F207" s="16"/>
      <c r="G207" s="27">
        <f t="shared" si="56"/>
        <v>112.14</v>
      </c>
      <c r="H207" s="16"/>
      <c r="I207" s="19"/>
      <c r="J207" s="16"/>
      <c r="K207" s="20"/>
      <c r="L207" s="16"/>
      <c r="M207" s="21"/>
      <c r="N207" s="22">
        <v>300</v>
      </c>
      <c r="O207" s="22">
        <v>720</v>
      </c>
      <c r="P207" s="22">
        <v>300</v>
      </c>
      <c r="Q207" s="14" t="s">
        <v>408</v>
      </c>
      <c r="R207" s="14" t="s">
        <v>547</v>
      </c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1:30" x14ac:dyDescent="0.25">
      <c r="A208" s="14" t="s">
        <v>260</v>
      </c>
      <c r="B208" s="15" t="s">
        <v>261</v>
      </c>
      <c r="C208" s="50">
        <v>120</v>
      </c>
      <c r="D208" s="16">
        <f t="shared" si="57"/>
        <v>320.39999999999998</v>
      </c>
      <c r="E208" s="16"/>
      <c r="F208" s="16"/>
      <c r="G208" s="27">
        <f t="shared" si="56"/>
        <v>320.39999999999998</v>
      </c>
      <c r="H208" s="16"/>
      <c r="I208" s="19"/>
      <c r="J208" s="16"/>
      <c r="K208" s="20"/>
      <c r="L208" s="16"/>
      <c r="M208" s="21"/>
      <c r="N208" s="22">
        <v>900</v>
      </c>
      <c r="O208" s="22">
        <v>720</v>
      </c>
      <c r="P208" s="22">
        <v>900</v>
      </c>
      <c r="Q208" s="14" t="s">
        <v>408</v>
      </c>
      <c r="R208" s="14" t="s">
        <v>547</v>
      </c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spans="1:30" x14ac:dyDescent="0.25">
      <c r="A209" s="14" t="s">
        <v>262</v>
      </c>
      <c r="B209" s="15" t="s">
        <v>263</v>
      </c>
      <c r="C209" s="50">
        <v>150</v>
      </c>
      <c r="D209" s="16">
        <f t="shared" si="57"/>
        <v>400.5</v>
      </c>
      <c r="E209" s="16"/>
      <c r="F209" s="16"/>
      <c r="G209" s="27">
        <f t="shared" si="56"/>
        <v>400.5</v>
      </c>
      <c r="H209" s="16"/>
      <c r="I209" s="19"/>
      <c r="J209" s="16"/>
      <c r="K209" s="20"/>
      <c r="L209" s="16"/>
      <c r="M209" s="21"/>
      <c r="N209" s="22">
        <v>1200</v>
      </c>
      <c r="O209" s="22">
        <v>720</v>
      </c>
      <c r="P209" s="22">
        <v>1200</v>
      </c>
      <c r="Q209" s="14" t="s">
        <v>408</v>
      </c>
      <c r="R209" s="14" t="s">
        <v>547</v>
      </c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spans="1:30" x14ac:dyDescent="0.25">
      <c r="A210" s="14"/>
      <c r="B210" s="15"/>
      <c r="C210" s="70"/>
      <c r="D210" s="28"/>
      <c r="E210" s="28"/>
      <c r="F210" s="28"/>
      <c r="G210" s="27"/>
      <c r="H210" s="28"/>
      <c r="I210" s="82"/>
      <c r="J210" s="28"/>
      <c r="K210" s="30"/>
      <c r="L210" s="28"/>
      <c r="M210" s="31"/>
      <c r="N210" s="32"/>
      <c r="O210" s="32"/>
      <c r="P210" s="32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spans="1:30" x14ac:dyDescent="0.25">
      <c r="A211" s="14"/>
      <c r="B211" s="15"/>
      <c r="C211" s="70"/>
      <c r="D211" s="28"/>
      <c r="E211" s="28"/>
      <c r="F211" s="28"/>
      <c r="G211" s="27"/>
      <c r="H211" s="28"/>
      <c r="I211" s="82"/>
      <c r="J211" s="28"/>
      <c r="K211" s="30"/>
      <c r="L211" s="28"/>
      <c r="M211" s="31"/>
      <c r="N211" s="32"/>
      <c r="O211" s="32"/>
      <c r="P211" s="32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spans="1:30" x14ac:dyDescent="0.25">
      <c r="A212" s="14"/>
      <c r="B212" s="15"/>
      <c r="C212" s="70"/>
      <c r="D212" s="28"/>
      <c r="E212" s="28"/>
      <c r="F212" s="28"/>
      <c r="G212" s="27"/>
      <c r="H212" s="28"/>
      <c r="I212" s="82"/>
      <c r="J212" s="28"/>
      <c r="K212" s="30"/>
      <c r="L212" s="28"/>
      <c r="M212" s="31"/>
      <c r="N212" s="32"/>
      <c r="O212" s="32"/>
      <c r="P212" s="32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spans="1:30" ht="15.75" x14ac:dyDescent="0.25">
      <c r="A213" s="72" t="s">
        <v>59</v>
      </c>
      <c r="B213" s="15"/>
      <c r="C213" s="73" t="s">
        <v>0</v>
      </c>
      <c r="D213" s="74" t="s">
        <v>0</v>
      </c>
      <c r="E213" s="74"/>
      <c r="F213" s="74"/>
      <c r="G213" s="27" t="e">
        <f>D213+E213</f>
        <v>#VALUE!</v>
      </c>
      <c r="H213" s="74"/>
      <c r="I213" s="83"/>
      <c r="J213" s="74"/>
      <c r="K213" s="84"/>
      <c r="L213" s="74"/>
      <c r="M213" s="85"/>
      <c r="N213" s="72" t="s">
        <v>417</v>
      </c>
      <c r="O213" s="72" t="s">
        <v>418</v>
      </c>
      <c r="P213" s="72" t="s">
        <v>419</v>
      </c>
      <c r="Q213" s="14" t="s">
        <v>407</v>
      </c>
      <c r="R213" s="14" t="s">
        <v>407</v>
      </c>
      <c r="S213" s="14" t="s">
        <v>411</v>
      </c>
      <c r="T213" s="14" t="s">
        <v>412</v>
      </c>
      <c r="U213" s="14" t="s">
        <v>413</v>
      </c>
      <c r="V213" s="14" t="s">
        <v>414</v>
      </c>
      <c r="W213" s="14" t="s">
        <v>415</v>
      </c>
      <c r="X213" s="14" t="s">
        <v>416</v>
      </c>
      <c r="Y213" s="14" t="s">
        <v>420</v>
      </c>
      <c r="Z213" s="14" t="s">
        <v>421</v>
      </c>
      <c r="AA213" s="14" t="s">
        <v>422</v>
      </c>
      <c r="AB213" s="14" t="s">
        <v>467</v>
      </c>
      <c r="AC213" s="14" t="s">
        <v>468</v>
      </c>
      <c r="AD213" s="14" t="s">
        <v>469</v>
      </c>
    </row>
    <row r="214" spans="1:30" x14ac:dyDescent="0.25">
      <c r="A214" s="14" t="s">
        <v>264</v>
      </c>
      <c r="B214" s="32" t="s">
        <v>265</v>
      </c>
      <c r="C214" s="50">
        <v>23.1</v>
      </c>
      <c r="D214" s="16">
        <f t="shared" ref="D214:D215" si="58">PRODUCT(C214,$D$1)</f>
        <v>61.677</v>
      </c>
      <c r="E214" s="16"/>
      <c r="F214" s="16"/>
      <c r="G214" s="27">
        <f>D214+E214</f>
        <v>61.677</v>
      </c>
      <c r="H214" s="16"/>
      <c r="I214" s="19"/>
      <c r="J214" s="16"/>
      <c r="K214" s="20"/>
      <c r="L214" s="16"/>
      <c r="M214" s="21"/>
      <c r="N214" s="22">
        <v>300</v>
      </c>
      <c r="O214" s="22">
        <v>290</v>
      </c>
      <c r="P214" s="22">
        <v>300</v>
      </c>
      <c r="Q214" s="14" t="s">
        <v>456</v>
      </c>
      <c r="R214" s="14" t="s">
        <v>457</v>
      </c>
      <c r="S214" s="14">
        <v>1</v>
      </c>
      <c r="T214" s="14">
        <v>285</v>
      </c>
      <c r="U214" s="14">
        <v>295</v>
      </c>
      <c r="V214" s="14"/>
      <c r="W214" s="14"/>
      <c r="X214" s="14"/>
      <c r="Y214" s="14"/>
      <c r="Z214" s="14"/>
      <c r="AA214" s="14"/>
      <c r="AB214" s="14"/>
      <c r="AC214" s="14"/>
      <c r="AD214" s="14"/>
    </row>
    <row r="215" spans="1:30" x14ac:dyDescent="0.25">
      <c r="A215" s="14" t="s">
        <v>266</v>
      </c>
      <c r="B215" s="32" t="s">
        <v>267</v>
      </c>
      <c r="C215" s="50">
        <v>25.3</v>
      </c>
      <c r="D215" s="16">
        <f t="shared" si="58"/>
        <v>67.551000000000002</v>
      </c>
      <c r="E215" s="16"/>
      <c r="F215" s="16"/>
      <c r="G215" s="27">
        <f>D215+E215</f>
        <v>67.551000000000002</v>
      </c>
      <c r="H215" s="16"/>
      <c r="I215" s="19"/>
      <c r="J215" s="16"/>
      <c r="K215" s="20"/>
      <c r="L215" s="16"/>
      <c r="M215" s="21"/>
      <c r="N215" s="22">
        <v>360</v>
      </c>
      <c r="O215" s="22">
        <v>360</v>
      </c>
      <c r="P215" s="22">
        <v>300</v>
      </c>
      <c r="Q215" s="14" t="s">
        <v>456</v>
      </c>
      <c r="R215" s="14" t="s">
        <v>457</v>
      </c>
      <c r="S215" s="14">
        <v>1</v>
      </c>
      <c r="T215" s="14">
        <v>355</v>
      </c>
      <c r="U215" s="14">
        <v>355</v>
      </c>
      <c r="V215" s="14"/>
      <c r="W215" s="14"/>
      <c r="X215" s="14"/>
      <c r="Y215" s="14"/>
      <c r="Z215" s="14"/>
      <c r="AA215" s="14"/>
      <c r="AB215" s="14"/>
      <c r="AC215" s="14"/>
      <c r="AD215" s="14"/>
    </row>
    <row r="216" spans="1:30" x14ac:dyDescent="0.25">
      <c r="A216" s="14"/>
      <c r="B216" s="15"/>
      <c r="C216" s="50"/>
      <c r="D216" s="16"/>
      <c r="E216" s="16"/>
      <c r="F216" s="16"/>
      <c r="G216" s="27"/>
      <c r="H216" s="16"/>
      <c r="I216" s="19"/>
      <c r="J216" s="16"/>
      <c r="K216" s="20"/>
      <c r="L216" s="16"/>
      <c r="M216" s="21"/>
      <c r="N216" s="22"/>
      <c r="O216" s="22"/>
      <c r="P216" s="22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spans="1:30" x14ac:dyDescent="0.25">
      <c r="A217" s="14"/>
      <c r="B217" s="15"/>
      <c r="C217" s="50"/>
      <c r="D217" s="16"/>
      <c r="E217" s="16"/>
      <c r="F217" s="16"/>
      <c r="G217" s="27"/>
      <c r="H217" s="16"/>
      <c r="I217" s="19"/>
      <c r="J217" s="16"/>
      <c r="K217" s="20"/>
      <c r="L217" s="16"/>
      <c r="M217" s="21"/>
      <c r="N217" s="22"/>
      <c r="O217" s="22"/>
      <c r="P217" s="22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1:30" x14ac:dyDescent="0.25">
      <c r="A218" s="14" t="s">
        <v>268</v>
      </c>
      <c r="B218" s="15" t="s">
        <v>269</v>
      </c>
      <c r="C218" s="50">
        <v>61.5</v>
      </c>
      <c r="D218" s="16">
        <f t="shared" ref="D218:D222" si="59">PRODUCT(C218,$D$1)</f>
        <v>164.20499999999998</v>
      </c>
      <c r="E218" s="16"/>
      <c r="F218" s="16"/>
      <c r="G218" s="27">
        <f>D218+E218</f>
        <v>164.20499999999998</v>
      </c>
      <c r="H218" s="16"/>
      <c r="I218" s="19"/>
      <c r="J218" s="16"/>
      <c r="K218" s="20"/>
      <c r="L218" s="16"/>
      <c r="M218" s="21"/>
      <c r="N218" s="22">
        <v>300</v>
      </c>
      <c r="O218" s="22">
        <v>1065</v>
      </c>
      <c r="P218" s="22">
        <v>560</v>
      </c>
      <c r="Q218" s="14" t="s">
        <v>510</v>
      </c>
      <c r="R218" s="14" t="s">
        <v>433</v>
      </c>
      <c r="S218" s="14"/>
      <c r="T218" s="14"/>
      <c r="U218" s="14"/>
      <c r="V218" s="14"/>
      <c r="W218" s="14"/>
      <c r="X218" s="14"/>
      <c r="Y218" s="14"/>
      <c r="Z218" s="14"/>
      <c r="AA218" s="14"/>
      <c r="AB218" s="16"/>
      <c r="AC218" s="14"/>
      <c r="AD218" s="14"/>
    </row>
    <row r="219" spans="1:30" x14ac:dyDescent="0.25">
      <c r="A219" s="14" t="s">
        <v>270</v>
      </c>
      <c r="B219" s="15" t="s">
        <v>271</v>
      </c>
      <c r="C219" s="50">
        <v>62.6</v>
      </c>
      <c r="D219" s="16">
        <f t="shared" si="59"/>
        <v>167.142</v>
      </c>
      <c r="E219" s="16"/>
      <c r="F219" s="16"/>
      <c r="G219" s="27">
        <f>D219+E219</f>
        <v>167.142</v>
      </c>
      <c r="H219" s="16"/>
      <c r="I219" s="19"/>
      <c r="J219" s="16"/>
      <c r="K219" s="20"/>
      <c r="L219" s="16"/>
      <c r="M219" s="21"/>
      <c r="N219" s="22">
        <v>400</v>
      </c>
      <c r="O219" s="22">
        <v>1065</v>
      </c>
      <c r="P219" s="22">
        <v>560</v>
      </c>
      <c r="Q219" s="14" t="s">
        <v>510</v>
      </c>
      <c r="R219" s="14" t="s">
        <v>433</v>
      </c>
      <c r="S219" s="14"/>
      <c r="T219" s="14"/>
      <c r="U219" s="14"/>
      <c r="V219" s="14"/>
      <c r="W219" s="14"/>
      <c r="X219" s="14"/>
      <c r="Y219" s="14"/>
      <c r="Z219" s="14"/>
      <c r="AA219" s="14"/>
      <c r="AB219" s="16"/>
      <c r="AC219" s="14"/>
      <c r="AD219" s="14"/>
    </row>
    <row r="220" spans="1:30" x14ac:dyDescent="0.25">
      <c r="A220" s="14" t="s">
        <v>272</v>
      </c>
      <c r="B220" s="15" t="s">
        <v>273</v>
      </c>
      <c r="C220" s="50">
        <v>63.7</v>
      </c>
      <c r="D220" s="16">
        <f t="shared" si="59"/>
        <v>170.07900000000001</v>
      </c>
      <c r="E220" s="16"/>
      <c r="F220" s="16"/>
      <c r="G220" s="27">
        <f>D220+E220</f>
        <v>170.07900000000001</v>
      </c>
      <c r="H220" s="16"/>
      <c r="I220" s="19"/>
      <c r="J220" s="16"/>
      <c r="K220" s="20"/>
      <c r="L220" s="16"/>
      <c r="M220" s="21"/>
      <c r="N220" s="22">
        <v>450</v>
      </c>
      <c r="O220" s="22">
        <v>1065</v>
      </c>
      <c r="P220" s="22">
        <v>560</v>
      </c>
      <c r="Q220" s="14" t="s">
        <v>510</v>
      </c>
      <c r="R220" s="14" t="s">
        <v>433</v>
      </c>
      <c r="S220" s="14"/>
      <c r="T220" s="14"/>
      <c r="U220" s="14"/>
      <c r="V220" s="14"/>
      <c r="W220" s="14"/>
      <c r="X220" s="14"/>
      <c r="Y220" s="14"/>
      <c r="Z220" s="14"/>
      <c r="AA220" s="14"/>
      <c r="AB220" s="16"/>
      <c r="AC220" s="14"/>
      <c r="AD220" s="14"/>
    </row>
    <row r="221" spans="1:30" x14ac:dyDescent="0.25">
      <c r="A221" s="14" t="s">
        <v>274</v>
      </c>
      <c r="B221" s="15" t="s">
        <v>275</v>
      </c>
      <c r="C221" s="50">
        <v>64.8</v>
      </c>
      <c r="D221" s="16">
        <f t="shared" si="59"/>
        <v>173.01599999999999</v>
      </c>
      <c r="E221" s="16"/>
      <c r="F221" s="16"/>
      <c r="G221" s="27">
        <f>D221+E221</f>
        <v>173.01599999999999</v>
      </c>
      <c r="H221" s="16"/>
      <c r="I221" s="19"/>
      <c r="J221" s="16"/>
      <c r="K221" s="20"/>
      <c r="L221" s="16"/>
      <c r="M221" s="21"/>
      <c r="N221" s="22">
        <v>500</v>
      </c>
      <c r="O221" s="22">
        <v>1065</v>
      </c>
      <c r="P221" s="22">
        <v>560</v>
      </c>
      <c r="Q221" s="14" t="s">
        <v>510</v>
      </c>
      <c r="R221" s="14" t="s">
        <v>433</v>
      </c>
      <c r="S221" s="14"/>
      <c r="T221" s="14"/>
      <c r="U221" s="14"/>
      <c r="V221" s="14"/>
      <c r="W221" s="14"/>
      <c r="X221" s="14"/>
      <c r="Y221" s="14"/>
      <c r="Z221" s="14"/>
      <c r="AA221" s="14"/>
      <c r="AB221" s="16"/>
      <c r="AC221" s="14"/>
      <c r="AD221" s="14"/>
    </row>
    <row r="222" spans="1:30" x14ac:dyDescent="0.25">
      <c r="A222" s="14" t="s">
        <v>276</v>
      </c>
      <c r="B222" s="15" t="s">
        <v>277</v>
      </c>
      <c r="C222" s="50">
        <v>65.900000000000006</v>
      </c>
      <c r="D222" s="16">
        <f t="shared" si="59"/>
        <v>175.953</v>
      </c>
      <c r="E222" s="16"/>
      <c r="F222" s="16"/>
      <c r="G222" s="27">
        <f>D222+E222</f>
        <v>175.953</v>
      </c>
      <c r="H222" s="16"/>
      <c r="I222" s="19"/>
      <c r="J222" s="16"/>
      <c r="K222" s="20"/>
      <c r="L222" s="16"/>
      <c r="M222" s="21"/>
      <c r="N222" s="22">
        <v>600</v>
      </c>
      <c r="O222" s="22">
        <v>1065</v>
      </c>
      <c r="P222" s="22">
        <v>560</v>
      </c>
      <c r="Q222" s="14" t="s">
        <v>510</v>
      </c>
      <c r="R222" s="14" t="s">
        <v>433</v>
      </c>
      <c r="S222" s="14"/>
      <c r="T222" s="14"/>
      <c r="U222" s="14"/>
      <c r="V222" s="14"/>
      <c r="W222" s="14"/>
      <c r="X222" s="14"/>
      <c r="Y222" s="14"/>
      <c r="Z222" s="14"/>
      <c r="AA222" s="14"/>
      <c r="AB222" s="16"/>
      <c r="AC222" s="14"/>
      <c r="AD222" s="14"/>
    </row>
    <row r="223" spans="1:30" x14ac:dyDescent="0.25">
      <c r="A223" s="14"/>
      <c r="B223" s="25" t="s">
        <v>278</v>
      </c>
      <c r="C223" s="50"/>
      <c r="D223" s="16"/>
      <c r="E223" s="16"/>
      <c r="F223" s="16"/>
      <c r="G223" s="27"/>
      <c r="H223" s="16"/>
      <c r="I223" s="19"/>
      <c r="J223" s="16"/>
      <c r="K223" s="20"/>
      <c r="L223" s="16"/>
      <c r="M223" s="21"/>
      <c r="N223" s="22"/>
      <c r="O223" s="22"/>
      <c r="P223" s="22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6"/>
      <c r="AC223" s="16"/>
      <c r="AD223" s="14"/>
    </row>
    <row r="224" spans="1:30" x14ac:dyDescent="0.25">
      <c r="A224" s="14"/>
      <c r="B224" s="15"/>
      <c r="C224" s="50"/>
      <c r="D224" s="16"/>
      <c r="E224" s="16"/>
      <c r="F224" s="16"/>
      <c r="G224" s="27"/>
      <c r="H224" s="16"/>
      <c r="I224" s="19"/>
      <c r="J224" s="16"/>
      <c r="K224" s="20"/>
      <c r="L224" s="16"/>
      <c r="M224" s="21"/>
      <c r="N224" s="22"/>
      <c r="O224" s="22"/>
      <c r="P224" s="22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6"/>
      <c r="AC224" s="16"/>
      <c r="AD224" s="14"/>
    </row>
    <row r="225" spans="1:30" x14ac:dyDescent="0.25">
      <c r="A225" s="14"/>
      <c r="B225" s="15"/>
      <c r="C225" s="50"/>
      <c r="D225" s="16"/>
      <c r="E225" s="16"/>
      <c r="F225" s="16"/>
      <c r="G225" s="27"/>
      <c r="H225" s="16"/>
      <c r="I225" s="19"/>
      <c r="J225" s="16"/>
      <c r="K225" s="20"/>
      <c r="L225" s="16"/>
      <c r="M225" s="21"/>
      <c r="N225" s="22"/>
      <c r="O225" s="22"/>
      <c r="P225" s="22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6"/>
      <c r="AD225" s="14"/>
    </row>
    <row r="226" spans="1:30" x14ac:dyDescent="0.25">
      <c r="A226" s="14" t="s">
        <v>279</v>
      </c>
      <c r="B226" s="15" t="s">
        <v>280</v>
      </c>
      <c r="C226" s="50">
        <v>76.8</v>
      </c>
      <c r="D226" s="16">
        <f t="shared" ref="D226:D230" si="60">PRODUCT(C226,$D$1)</f>
        <v>205.05599999999998</v>
      </c>
      <c r="E226" s="16"/>
      <c r="F226" s="16"/>
      <c r="G226" s="27">
        <f>D226+E226</f>
        <v>205.05599999999998</v>
      </c>
      <c r="H226" s="16"/>
      <c r="I226" s="19"/>
      <c r="J226" s="16"/>
      <c r="K226" s="20"/>
      <c r="L226" s="16"/>
      <c r="M226" s="21"/>
      <c r="N226" s="22">
        <v>300</v>
      </c>
      <c r="O226" s="22">
        <v>1210</v>
      </c>
      <c r="P226" s="22">
        <v>560</v>
      </c>
      <c r="Q226" s="14" t="s">
        <v>510</v>
      </c>
      <c r="R226" s="14" t="s">
        <v>430</v>
      </c>
      <c r="S226" s="14"/>
      <c r="T226" s="14"/>
      <c r="U226" s="14"/>
      <c r="V226" s="14"/>
      <c r="W226" s="14"/>
      <c r="X226" s="14"/>
      <c r="Y226" s="14"/>
      <c r="Z226" s="14"/>
      <c r="AA226" s="14"/>
      <c r="AB226" s="16"/>
      <c r="AC226" s="16"/>
      <c r="AD226" s="14"/>
    </row>
    <row r="227" spans="1:30" x14ac:dyDescent="0.25">
      <c r="A227" s="14" t="s">
        <v>281</v>
      </c>
      <c r="B227" s="15" t="s">
        <v>282</v>
      </c>
      <c r="C227" s="50">
        <v>77.900000000000006</v>
      </c>
      <c r="D227" s="16">
        <f t="shared" si="60"/>
        <v>207.99300000000002</v>
      </c>
      <c r="E227" s="16"/>
      <c r="F227" s="16"/>
      <c r="G227" s="27">
        <f>D227+E227</f>
        <v>207.99300000000002</v>
      </c>
      <c r="H227" s="16"/>
      <c r="I227" s="19"/>
      <c r="J227" s="16"/>
      <c r="K227" s="20"/>
      <c r="L227" s="16"/>
      <c r="M227" s="21"/>
      <c r="N227" s="22">
        <v>400</v>
      </c>
      <c r="O227" s="22">
        <v>1210</v>
      </c>
      <c r="P227" s="22">
        <v>560</v>
      </c>
      <c r="Q227" s="14" t="s">
        <v>510</v>
      </c>
      <c r="R227" s="14" t="s">
        <v>430</v>
      </c>
      <c r="S227" s="14"/>
      <c r="T227" s="14"/>
      <c r="U227" s="14"/>
      <c r="V227" s="14"/>
      <c r="W227" s="14"/>
      <c r="X227" s="14"/>
      <c r="Y227" s="14"/>
      <c r="Z227" s="14"/>
      <c r="AA227" s="14"/>
      <c r="AB227" s="16"/>
      <c r="AC227" s="16"/>
      <c r="AD227" s="14"/>
    </row>
    <row r="228" spans="1:30" x14ac:dyDescent="0.25">
      <c r="A228" s="14" t="s">
        <v>283</v>
      </c>
      <c r="B228" s="15" t="s">
        <v>284</v>
      </c>
      <c r="C228" s="50">
        <v>79</v>
      </c>
      <c r="D228" s="16">
        <f t="shared" si="60"/>
        <v>210.93</v>
      </c>
      <c r="E228" s="16"/>
      <c r="F228" s="16"/>
      <c r="G228" s="27">
        <f>D228+E228</f>
        <v>210.93</v>
      </c>
      <c r="H228" s="16"/>
      <c r="I228" s="19"/>
      <c r="J228" s="16"/>
      <c r="K228" s="20"/>
      <c r="L228" s="16"/>
      <c r="M228" s="21"/>
      <c r="N228" s="22">
        <v>450</v>
      </c>
      <c r="O228" s="22">
        <v>1210</v>
      </c>
      <c r="P228" s="22">
        <v>560</v>
      </c>
      <c r="Q228" s="14" t="s">
        <v>510</v>
      </c>
      <c r="R228" s="14" t="s">
        <v>430</v>
      </c>
      <c r="S228" s="14"/>
      <c r="T228" s="14"/>
      <c r="U228" s="14"/>
      <c r="V228" s="14"/>
      <c r="W228" s="14"/>
      <c r="X228" s="14"/>
      <c r="Y228" s="14"/>
      <c r="Z228" s="14"/>
      <c r="AA228" s="14"/>
      <c r="AB228" s="16"/>
      <c r="AC228" s="16"/>
      <c r="AD228" s="14"/>
    </row>
    <row r="229" spans="1:30" x14ac:dyDescent="0.25">
      <c r="A229" s="14" t="s">
        <v>285</v>
      </c>
      <c r="B229" s="15" t="s">
        <v>286</v>
      </c>
      <c r="C229" s="50">
        <v>80.099999999999994</v>
      </c>
      <c r="D229" s="16">
        <f t="shared" si="60"/>
        <v>213.86699999999999</v>
      </c>
      <c r="E229" s="16"/>
      <c r="F229" s="16"/>
      <c r="G229" s="27">
        <f>D229+E229</f>
        <v>213.86699999999999</v>
      </c>
      <c r="H229" s="16"/>
      <c r="I229" s="19"/>
      <c r="J229" s="16"/>
      <c r="K229" s="20"/>
      <c r="L229" s="16"/>
      <c r="M229" s="21"/>
      <c r="N229" s="22">
        <v>500</v>
      </c>
      <c r="O229" s="22">
        <v>1210</v>
      </c>
      <c r="P229" s="22">
        <v>560</v>
      </c>
      <c r="Q229" s="14" t="s">
        <v>510</v>
      </c>
      <c r="R229" s="14" t="s">
        <v>430</v>
      </c>
      <c r="S229" s="14"/>
      <c r="T229" s="14"/>
      <c r="U229" s="14"/>
      <c r="V229" s="14"/>
      <c r="W229" s="14"/>
      <c r="X229" s="14"/>
      <c r="Y229" s="14"/>
      <c r="Z229" s="14"/>
      <c r="AA229" s="14"/>
      <c r="AB229" s="16"/>
      <c r="AC229" s="16"/>
      <c r="AD229" s="14"/>
    </row>
    <row r="230" spans="1:30" x14ac:dyDescent="0.25">
      <c r="A230" s="14" t="s">
        <v>287</v>
      </c>
      <c r="B230" s="15" t="s">
        <v>288</v>
      </c>
      <c r="C230" s="50">
        <v>81.2</v>
      </c>
      <c r="D230" s="16">
        <f t="shared" si="60"/>
        <v>216.804</v>
      </c>
      <c r="E230" s="16"/>
      <c r="F230" s="16"/>
      <c r="G230" s="27">
        <f>D230+E230</f>
        <v>216.804</v>
      </c>
      <c r="H230" s="16"/>
      <c r="I230" s="19"/>
      <c r="J230" s="16"/>
      <c r="K230" s="20"/>
      <c r="L230" s="16"/>
      <c r="M230" s="21"/>
      <c r="N230" s="22">
        <v>600</v>
      </c>
      <c r="O230" s="22">
        <v>1210</v>
      </c>
      <c r="P230" s="22">
        <v>560</v>
      </c>
      <c r="Q230" s="14" t="s">
        <v>510</v>
      </c>
      <c r="R230" s="14" t="s">
        <v>430</v>
      </c>
      <c r="S230" s="14"/>
      <c r="T230" s="14"/>
      <c r="U230" s="14"/>
      <c r="V230" s="14"/>
      <c r="W230" s="14"/>
      <c r="X230" s="14"/>
      <c r="Y230" s="14"/>
      <c r="Z230" s="14"/>
      <c r="AA230" s="14"/>
      <c r="AB230" s="16"/>
      <c r="AC230" s="16"/>
      <c r="AD230" s="14"/>
    </row>
    <row r="231" spans="1:30" x14ac:dyDescent="0.25">
      <c r="A231" s="14"/>
      <c r="B231" s="25" t="s">
        <v>289</v>
      </c>
      <c r="C231" s="50"/>
      <c r="D231" s="16"/>
      <c r="E231" s="16"/>
      <c r="F231" s="16"/>
      <c r="G231" s="27"/>
      <c r="H231" s="16"/>
      <c r="I231" s="19"/>
      <c r="J231" s="16"/>
      <c r="K231" s="20"/>
      <c r="L231" s="16"/>
      <c r="M231" s="21"/>
      <c r="N231" s="22"/>
      <c r="O231" s="22"/>
      <c r="P231" s="22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6"/>
      <c r="AC231" s="16"/>
      <c r="AD231" s="14"/>
    </row>
    <row r="232" spans="1:30" x14ac:dyDescent="0.25">
      <c r="A232" s="14"/>
      <c r="B232" s="15"/>
      <c r="C232" s="50"/>
      <c r="D232" s="16"/>
      <c r="E232" s="16"/>
      <c r="F232" s="16"/>
      <c r="G232" s="27"/>
      <c r="H232" s="16"/>
      <c r="I232" s="19"/>
      <c r="J232" s="16"/>
      <c r="K232" s="20"/>
      <c r="L232" s="16"/>
      <c r="M232" s="21"/>
      <c r="N232" s="22"/>
      <c r="O232" s="22"/>
      <c r="P232" s="22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6"/>
      <c r="AC232" s="16"/>
      <c r="AD232" s="14"/>
    </row>
    <row r="233" spans="1:30" x14ac:dyDescent="0.25">
      <c r="A233" s="14"/>
      <c r="B233" s="15"/>
      <c r="C233" s="50"/>
      <c r="D233" s="16"/>
      <c r="E233" s="16"/>
      <c r="F233" s="16"/>
      <c r="G233" s="27"/>
      <c r="H233" s="16"/>
      <c r="I233" s="19"/>
      <c r="J233" s="16"/>
      <c r="K233" s="20"/>
      <c r="L233" s="16"/>
      <c r="M233" s="21"/>
      <c r="N233" s="22"/>
      <c r="O233" s="22"/>
      <c r="P233" s="22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 spans="1:30" x14ac:dyDescent="0.25">
      <c r="A234" s="14" t="s">
        <v>290</v>
      </c>
      <c r="B234" s="15" t="s">
        <v>291</v>
      </c>
      <c r="C234" s="50">
        <v>79</v>
      </c>
      <c r="D234" s="16">
        <f t="shared" ref="D234:D238" si="61">PRODUCT(C234,$D$1)</f>
        <v>210.93</v>
      </c>
      <c r="E234" s="16"/>
      <c r="F234" s="16"/>
      <c r="G234" s="27">
        <f>D234+E234</f>
        <v>210.93</v>
      </c>
      <c r="H234" s="16"/>
      <c r="I234" s="19"/>
      <c r="J234" s="16"/>
      <c r="K234" s="20"/>
      <c r="L234" s="16"/>
      <c r="M234" s="21"/>
      <c r="N234" s="22">
        <v>300</v>
      </c>
      <c r="O234" s="22">
        <v>1390</v>
      </c>
      <c r="P234" s="22">
        <v>560</v>
      </c>
      <c r="Q234" s="14" t="s">
        <v>510</v>
      </c>
      <c r="R234" s="14" t="s">
        <v>431</v>
      </c>
      <c r="S234" s="14"/>
      <c r="T234" s="14"/>
      <c r="U234" s="14"/>
      <c r="V234" s="14"/>
      <c r="W234" s="14"/>
      <c r="X234" s="14"/>
      <c r="Y234" s="14"/>
      <c r="Z234" s="14"/>
      <c r="AA234" s="14"/>
      <c r="AB234" s="16"/>
      <c r="AC234" s="14"/>
      <c r="AD234" s="14"/>
    </row>
    <row r="235" spans="1:30" x14ac:dyDescent="0.25">
      <c r="A235" s="14" t="s">
        <v>292</v>
      </c>
      <c r="B235" s="15" t="s">
        <v>293</v>
      </c>
      <c r="C235" s="50">
        <v>80.099999999999994</v>
      </c>
      <c r="D235" s="16">
        <f t="shared" si="61"/>
        <v>213.86699999999999</v>
      </c>
      <c r="E235" s="16"/>
      <c r="F235" s="16"/>
      <c r="G235" s="27">
        <f>D235+E235</f>
        <v>213.86699999999999</v>
      </c>
      <c r="H235" s="16"/>
      <c r="I235" s="19"/>
      <c r="J235" s="16"/>
      <c r="K235" s="20"/>
      <c r="L235" s="16"/>
      <c r="M235" s="21"/>
      <c r="N235" s="22">
        <v>400</v>
      </c>
      <c r="O235" s="22">
        <v>1390</v>
      </c>
      <c r="P235" s="22">
        <v>560</v>
      </c>
      <c r="Q235" s="14" t="s">
        <v>510</v>
      </c>
      <c r="R235" s="14" t="s">
        <v>431</v>
      </c>
      <c r="S235" s="14"/>
      <c r="T235" s="14"/>
      <c r="U235" s="14"/>
      <c r="V235" s="14"/>
      <c r="W235" s="14"/>
      <c r="X235" s="14"/>
      <c r="Y235" s="14"/>
      <c r="Z235" s="14"/>
      <c r="AA235" s="14"/>
      <c r="AB235" s="16"/>
      <c r="AC235" s="14"/>
      <c r="AD235" s="14"/>
    </row>
    <row r="236" spans="1:30" x14ac:dyDescent="0.25">
      <c r="A236" s="14" t="s">
        <v>294</v>
      </c>
      <c r="B236" s="15" t="s">
        <v>295</v>
      </c>
      <c r="C236" s="50">
        <v>81.2</v>
      </c>
      <c r="D236" s="16">
        <f t="shared" si="61"/>
        <v>216.804</v>
      </c>
      <c r="E236" s="16"/>
      <c r="F236" s="16"/>
      <c r="G236" s="27">
        <f>D236+E236</f>
        <v>216.804</v>
      </c>
      <c r="H236" s="16"/>
      <c r="I236" s="19"/>
      <c r="J236" s="16"/>
      <c r="K236" s="20"/>
      <c r="L236" s="16"/>
      <c r="M236" s="21"/>
      <c r="N236" s="22">
        <v>450</v>
      </c>
      <c r="O236" s="22">
        <v>1390</v>
      </c>
      <c r="P236" s="22">
        <v>560</v>
      </c>
      <c r="Q236" s="14" t="s">
        <v>510</v>
      </c>
      <c r="R236" s="14" t="s">
        <v>431</v>
      </c>
      <c r="S236" s="14"/>
      <c r="T236" s="14"/>
      <c r="U236" s="14"/>
      <c r="V236" s="14"/>
      <c r="W236" s="14"/>
      <c r="X236" s="14"/>
      <c r="Y236" s="14"/>
      <c r="Z236" s="14"/>
      <c r="AA236" s="14"/>
      <c r="AB236" s="16"/>
      <c r="AC236" s="14"/>
      <c r="AD236" s="14"/>
    </row>
    <row r="237" spans="1:30" x14ac:dyDescent="0.25">
      <c r="A237" s="14" t="s">
        <v>296</v>
      </c>
      <c r="B237" s="15" t="s">
        <v>297</v>
      </c>
      <c r="C237" s="50">
        <v>82.3</v>
      </c>
      <c r="D237" s="16">
        <f t="shared" si="61"/>
        <v>219.74099999999999</v>
      </c>
      <c r="E237" s="16"/>
      <c r="F237" s="16"/>
      <c r="G237" s="27">
        <f>D237+E237</f>
        <v>219.74099999999999</v>
      </c>
      <c r="H237" s="16"/>
      <c r="I237" s="19"/>
      <c r="J237" s="16"/>
      <c r="K237" s="20"/>
      <c r="L237" s="16"/>
      <c r="M237" s="21"/>
      <c r="N237" s="22">
        <v>500</v>
      </c>
      <c r="O237" s="22">
        <v>1390</v>
      </c>
      <c r="P237" s="22">
        <v>560</v>
      </c>
      <c r="Q237" s="14" t="s">
        <v>510</v>
      </c>
      <c r="R237" s="14" t="s">
        <v>431</v>
      </c>
      <c r="S237" s="14"/>
      <c r="T237" s="14"/>
      <c r="U237" s="14"/>
      <c r="V237" s="14"/>
      <c r="W237" s="14"/>
      <c r="X237" s="14"/>
      <c r="Y237" s="14"/>
      <c r="Z237" s="14"/>
      <c r="AA237" s="14"/>
      <c r="AB237" s="16"/>
      <c r="AC237" s="14"/>
      <c r="AD237" s="14"/>
    </row>
    <row r="238" spans="1:30" x14ac:dyDescent="0.25">
      <c r="A238" s="14" t="s">
        <v>298</v>
      </c>
      <c r="B238" s="15" t="s">
        <v>299</v>
      </c>
      <c r="C238" s="50">
        <v>83.4</v>
      </c>
      <c r="D238" s="16">
        <f t="shared" si="61"/>
        <v>222.678</v>
      </c>
      <c r="E238" s="16"/>
      <c r="F238" s="16"/>
      <c r="G238" s="27">
        <f>D238+E238</f>
        <v>222.678</v>
      </c>
      <c r="H238" s="16"/>
      <c r="I238" s="19"/>
      <c r="J238" s="16"/>
      <c r="K238" s="20"/>
      <c r="L238" s="16"/>
      <c r="M238" s="21"/>
      <c r="N238" s="22">
        <v>600</v>
      </c>
      <c r="O238" s="22">
        <v>1390</v>
      </c>
      <c r="P238" s="22">
        <v>560</v>
      </c>
      <c r="Q238" s="14" t="s">
        <v>510</v>
      </c>
      <c r="R238" s="14" t="s">
        <v>431</v>
      </c>
      <c r="S238" s="14"/>
      <c r="T238" s="14"/>
      <c r="U238" s="14"/>
      <c r="V238" s="14"/>
      <c r="W238" s="14"/>
      <c r="X238" s="14"/>
      <c r="Y238" s="14"/>
      <c r="Z238" s="14"/>
      <c r="AA238" s="14"/>
      <c r="AB238" s="16"/>
      <c r="AC238" s="14"/>
      <c r="AD238" s="14"/>
    </row>
    <row r="239" spans="1:30" x14ac:dyDescent="0.25">
      <c r="A239" s="14"/>
      <c r="B239" s="25" t="s">
        <v>300</v>
      </c>
      <c r="C239" s="50"/>
      <c r="D239" s="16"/>
      <c r="E239" s="16"/>
      <c r="F239" s="16"/>
      <c r="G239" s="27"/>
      <c r="H239" s="16"/>
      <c r="I239" s="19"/>
      <c r="J239" s="16"/>
      <c r="K239" s="20"/>
      <c r="L239" s="16"/>
      <c r="M239" s="21"/>
      <c r="N239" s="22"/>
      <c r="O239" s="22"/>
      <c r="P239" s="22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spans="1:30" x14ac:dyDescent="0.25">
      <c r="A240" s="14"/>
      <c r="B240" s="15"/>
      <c r="C240" s="50"/>
      <c r="D240" s="16"/>
      <c r="E240" s="16"/>
      <c r="F240" s="16"/>
      <c r="G240" s="27"/>
      <c r="H240" s="16"/>
      <c r="I240" s="19"/>
      <c r="J240" s="16"/>
      <c r="K240" s="20"/>
      <c r="L240" s="16"/>
      <c r="M240" s="21"/>
      <c r="N240" s="22"/>
      <c r="O240" s="22"/>
      <c r="P240" s="22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spans="1:30" x14ac:dyDescent="0.25">
      <c r="A241" s="14" t="s">
        <v>488</v>
      </c>
      <c r="B241" s="15" t="s">
        <v>500</v>
      </c>
      <c r="C241" s="50">
        <v>37.4</v>
      </c>
      <c r="D241" s="16">
        <f t="shared" ref="D241:D249" si="62">PRODUCT(C241,$D$1)</f>
        <v>99.85799999999999</v>
      </c>
      <c r="E241" s="16"/>
      <c r="F241" s="16"/>
      <c r="G241" s="27">
        <f t="shared" ref="G241:G249" si="63">D241+E241</f>
        <v>99.85799999999999</v>
      </c>
      <c r="H241" s="16"/>
      <c r="I241" s="19"/>
      <c r="J241" s="16"/>
      <c r="K241" s="20"/>
      <c r="L241" s="16"/>
      <c r="M241" s="21"/>
      <c r="N241" s="22">
        <v>500</v>
      </c>
      <c r="O241" s="22">
        <v>720</v>
      </c>
      <c r="P241" s="22">
        <v>330</v>
      </c>
      <c r="Q241" s="14" t="s">
        <v>408</v>
      </c>
      <c r="R241" s="14" t="s">
        <v>463</v>
      </c>
      <c r="S241" s="14">
        <v>2</v>
      </c>
      <c r="T241" s="14">
        <v>715</v>
      </c>
      <c r="U241" s="14">
        <v>295</v>
      </c>
      <c r="V241" s="14"/>
      <c r="W241" s="14"/>
      <c r="X241" s="14"/>
      <c r="Y241" s="14"/>
      <c r="Z241" s="14"/>
      <c r="AA241" s="14"/>
      <c r="AB241" s="14"/>
      <c r="AC241" s="14"/>
      <c r="AD241" s="14"/>
    </row>
    <row r="242" spans="1:30" x14ac:dyDescent="0.25">
      <c r="A242" s="14" t="s">
        <v>489</v>
      </c>
      <c r="B242" s="15" t="s">
        <v>501</v>
      </c>
      <c r="C242" s="50">
        <v>38.5</v>
      </c>
      <c r="D242" s="16">
        <f t="shared" si="62"/>
        <v>102.795</v>
      </c>
      <c r="E242" s="16"/>
      <c r="F242" s="16"/>
      <c r="G242" s="27">
        <f t="shared" si="63"/>
        <v>102.795</v>
      </c>
      <c r="H242" s="16"/>
      <c r="I242" s="19"/>
      <c r="J242" s="16"/>
      <c r="K242" s="20"/>
      <c r="L242" s="16"/>
      <c r="M242" s="21"/>
      <c r="N242" s="22">
        <v>600</v>
      </c>
      <c r="O242" s="22">
        <v>720</v>
      </c>
      <c r="P242" s="22">
        <v>330</v>
      </c>
      <c r="Q242" s="14" t="s">
        <v>408</v>
      </c>
      <c r="R242" s="14" t="s">
        <v>463</v>
      </c>
      <c r="S242" s="14">
        <v>2</v>
      </c>
      <c r="T242" s="14">
        <v>715</v>
      </c>
      <c r="U242" s="14">
        <v>395</v>
      </c>
      <c r="V242" s="14"/>
      <c r="W242" s="14"/>
      <c r="X242" s="14"/>
      <c r="Y242" s="14"/>
      <c r="Z242" s="14"/>
      <c r="AA242" s="14"/>
      <c r="AB242" s="14"/>
      <c r="AC242" s="14"/>
      <c r="AD242" s="14"/>
    </row>
    <row r="243" spans="1:30" x14ac:dyDescent="0.25">
      <c r="A243" s="14" t="s">
        <v>490</v>
      </c>
      <c r="B243" s="15" t="s">
        <v>502</v>
      </c>
      <c r="C243" s="50">
        <v>39.6</v>
      </c>
      <c r="D243" s="16">
        <f t="shared" si="62"/>
        <v>105.732</v>
      </c>
      <c r="E243" s="16"/>
      <c r="F243" s="16"/>
      <c r="G243" s="27">
        <f t="shared" si="63"/>
        <v>105.732</v>
      </c>
      <c r="H243" s="16"/>
      <c r="I243" s="19"/>
      <c r="J243" s="16"/>
      <c r="K243" s="20"/>
      <c r="L243" s="16"/>
      <c r="M243" s="21"/>
      <c r="N243" s="22">
        <v>800</v>
      </c>
      <c r="O243" s="22">
        <v>720</v>
      </c>
      <c r="P243" s="22">
        <v>330</v>
      </c>
      <c r="Q243" s="14" t="s">
        <v>408</v>
      </c>
      <c r="R243" s="14" t="s">
        <v>463</v>
      </c>
      <c r="S243" s="14">
        <v>2</v>
      </c>
      <c r="T243" s="14">
        <v>715</v>
      </c>
      <c r="U243" s="14">
        <v>445</v>
      </c>
      <c r="V243" s="14"/>
      <c r="W243" s="14"/>
      <c r="X243" s="14"/>
      <c r="Y243" s="14"/>
      <c r="Z243" s="14"/>
      <c r="AA243" s="14"/>
      <c r="AB243" s="14"/>
      <c r="AC243" s="14"/>
      <c r="AD243" s="14"/>
    </row>
    <row r="244" spans="1:30" x14ac:dyDescent="0.25">
      <c r="A244" s="14" t="s">
        <v>482</v>
      </c>
      <c r="B244" s="15" t="s">
        <v>487</v>
      </c>
      <c r="C244" s="50">
        <v>41.8</v>
      </c>
      <c r="D244" s="16">
        <f t="shared" si="62"/>
        <v>111.60599999999999</v>
      </c>
      <c r="E244" s="16"/>
      <c r="F244" s="16"/>
      <c r="G244" s="27">
        <f t="shared" si="63"/>
        <v>111.60599999999999</v>
      </c>
      <c r="H244" s="16"/>
      <c r="I244" s="19"/>
      <c r="J244" s="16"/>
      <c r="K244" s="20"/>
      <c r="L244" s="16"/>
      <c r="M244" s="21"/>
      <c r="N244" s="22">
        <v>1000</v>
      </c>
      <c r="O244" s="22">
        <v>720</v>
      </c>
      <c r="P244" s="22">
        <v>330</v>
      </c>
      <c r="Q244" s="14" t="s">
        <v>408</v>
      </c>
      <c r="R244" s="14" t="s">
        <v>463</v>
      </c>
      <c r="S244" s="14">
        <v>2</v>
      </c>
      <c r="T244" s="14">
        <v>715</v>
      </c>
      <c r="U244" s="14">
        <v>495</v>
      </c>
      <c r="V244" s="14"/>
      <c r="W244" s="14"/>
      <c r="X244" s="14"/>
      <c r="Y244" s="14"/>
      <c r="Z244" s="14"/>
      <c r="AA244" s="14"/>
      <c r="AB244" s="14"/>
      <c r="AC244" s="14"/>
      <c r="AD244" s="14"/>
    </row>
    <row r="245" spans="1:30" x14ac:dyDescent="0.25">
      <c r="A245" s="14" t="s">
        <v>483</v>
      </c>
      <c r="B245" s="15" t="s">
        <v>503</v>
      </c>
      <c r="C245" s="50">
        <v>42.9</v>
      </c>
      <c r="D245" s="16">
        <f t="shared" si="62"/>
        <v>114.54299999999999</v>
      </c>
      <c r="E245" s="16"/>
      <c r="F245" s="16"/>
      <c r="G245" s="27">
        <f t="shared" si="63"/>
        <v>114.54299999999999</v>
      </c>
      <c r="H245" s="16"/>
      <c r="I245" s="19"/>
      <c r="J245" s="16"/>
      <c r="K245" s="20"/>
      <c r="L245" s="16"/>
      <c r="M245" s="21"/>
      <c r="N245" s="22">
        <v>500</v>
      </c>
      <c r="O245" s="22">
        <v>720</v>
      </c>
      <c r="P245" s="22">
        <v>330</v>
      </c>
      <c r="Q245" s="14" t="s">
        <v>408</v>
      </c>
      <c r="R245" s="14" t="s">
        <v>463</v>
      </c>
      <c r="S245" s="14">
        <v>2</v>
      </c>
      <c r="T245" s="14">
        <v>715</v>
      </c>
      <c r="U245" s="14">
        <v>595</v>
      </c>
      <c r="V245" s="14"/>
      <c r="W245" s="14"/>
      <c r="X245" s="14"/>
      <c r="Y245" s="14"/>
      <c r="Z245" s="14"/>
      <c r="AA245" s="14"/>
      <c r="AB245" s="14"/>
      <c r="AC245" s="14"/>
      <c r="AD245" s="14"/>
    </row>
    <row r="246" spans="1:30" x14ac:dyDescent="0.25">
      <c r="A246" s="14" t="s">
        <v>484</v>
      </c>
      <c r="B246" s="15" t="s">
        <v>504</v>
      </c>
      <c r="C246" s="50">
        <v>47.3</v>
      </c>
      <c r="D246" s="16">
        <f t="shared" si="62"/>
        <v>126.29099999999998</v>
      </c>
      <c r="E246" s="16"/>
      <c r="F246" s="16"/>
      <c r="G246" s="27">
        <f t="shared" si="63"/>
        <v>126.29099999999998</v>
      </c>
      <c r="H246" s="16"/>
      <c r="I246" s="19"/>
      <c r="J246" s="16"/>
      <c r="K246" s="20"/>
      <c r="L246" s="16"/>
      <c r="M246" s="21"/>
      <c r="N246" s="22">
        <v>600</v>
      </c>
      <c r="O246" s="22">
        <v>720</v>
      </c>
      <c r="P246" s="22">
        <v>330</v>
      </c>
      <c r="Q246" s="14" t="s">
        <v>408</v>
      </c>
      <c r="R246" s="14" t="s">
        <v>463</v>
      </c>
      <c r="S246" s="14">
        <v>4</v>
      </c>
      <c r="T246" s="14">
        <v>715</v>
      </c>
      <c r="U246" s="14">
        <v>395</v>
      </c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x14ac:dyDescent="0.25">
      <c r="A247" s="14" t="s">
        <v>491</v>
      </c>
      <c r="B247" s="15" t="s">
        <v>505</v>
      </c>
      <c r="C247" s="50">
        <v>48.4</v>
      </c>
      <c r="D247" s="16">
        <f t="shared" si="62"/>
        <v>129.22799999999998</v>
      </c>
      <c r="E247" s="16"/>
      <c r="F247" s="16"/>
      <c r="G247" s="27">
        <f t="shared" si="63"/>
        <v>129.22799999999998</v>
      </c>
      <c r="H247" s="16"/>
      <c r="I247" s="19"/>
      <c r="J247" s="16"/>
      <c r="K247" s="20"/>
      <c r="L247" s="16"/>
      <c r="M247" s="21"/>
      <c r="N247" s="22">
        <v>800</v>
      </c>
      <c r="O247" s="22">
        <v>720</v>
      </c>
      <c r="P247" s="22">
        <v>330</v>
      </c>
      <c r="Q247" s="14" t="s">
        <v>408</v>
      </c>
      <c r="R247" s="14" t="s">
        <v>463</v>
      </c>
      <c r="S247" s="14">
        <v>4</v>
      </c>
      <c r="T247" s="14">
        <v>715</v>
      </c>
      <c r="U247" s="14">
        <v>445</v>
      </c>
      <c r="V247" s="14"/>
      <c r="W247" s="14"/>
      <c r="X247" s="14"/>
      <c r="Y247" s="14"/>
      <c r="Z247" s="14"/>
      <c r="AA247" s="14"/>
      <c r="AB247" s="14"/>
      <c r="AC247" s="14"/>
      <c r="AD247" s="14"/>
    </row>
    <row r="248" spans="1:30" x14ac:dyDescent="0.25">
      <c r="A248" s="14" t="s">
        <v>485</v>
      </c>
      <c r="B248" s="15" t="s">
        <v>506</v>
      </c>
      <c r="C248" s="50">
        <v>49.5</v>
      </c>
      <c r="D248" s="16">
        <f t="shared" si="62"/>
        <v>132.16499999999999</v>
      </c>
      <c r="E248" s="16"/>
      <c r="F248" s="16"/>
      <c r="G248" s="27">
        <f t="shared" si="63"/>
        <v>132.16499999999999</v>
      </c>
      <c r="H248" s="16"/>
      <c r="I248" s="19"/>
      <c r="J248" s="16"/>
      <c r="K248" s="20"/>
      <c r="L248" s="16"/>
      <c r="M248" s="21"/>
      <c r="N248" s="22">
        <v>1000</v>
      </c>
      <c r="O248" s="22">
        <v>720</v>
      </c>
      <c r="P248" s="22">
        <v>330</v>
      </c>
      <c r="Q248" s="14" t="s">
        <v>408</v>
      </c>
      <c r="R248" s="14" t="s">
        <v>463</v>
      </c>
      <c r="S248" s="14">
        <v>4</v>
      </c>
      <c r="T248" s="14">
        <v>715</v>
      </c>
      <c r="U248" s="14">
        <v>495</v>
      </c>
      <c r="V248" s="14"/>
      <c r="W248" s="14"/>
      <c r="X248" s="14"/>
      <c r="Y248" s="14"/>
      <c r="Z248" s="14"/>
      <c r="AA248" s="14"/>
      <c r="AB248" s="14"/>
      <c r="AC248" s="14"/>
      <c r="AD248" s="14"/>
    </row>
    <row r="249" spans="1:30" x14ac:dyDescent="0.25">
      <c r="A249" s="14" t="s">
        <v>486</v>
      </c>
      <c r="B249" s="15" t="s">
        <v>507</v>
      </c>
      <c r="C249" s="50">
        <v>51.7</v>
      </c>
      <c r="D249" s="16">
        <f t="shared" si="62"/>
        <v>138.03900000000002</v>
      </c>
      <c r="E249" s="16"/>
      <c r="F249" s="16"/>
      <c r="G249" s="27">
        <f t="shared" si="63"/>
        <v>138.03900000000002</v>
      </c>
      <c r="H249" s="16"/>
      <c r="I249" s="19"/>
      <c r="J249" s="16"/>
      <c r="K249" s="20"/>
      <c r="L249" s="16"/>
      <c r="M249" s="21"/>
      <c r="N249" s="22">
        <v>1200</v>
      </c>
      <c r="O249" s="22">
        <v>720</v>
      </c>
      <c r="P249" s="22">
        <v>330</v>
      </c>
      <c r="Q249" s="14" t="s">
        <v>408</v>
      </c>
      <c r="R249" s="14" t="s">
        <v>463</v>
      </c>
      <c r="S249" s="14">
        <v>4</v>
      </c>
      <c r="T249" s="14">
        <v>715</v>
      </c>
      <c r="U249" s="14">
        <v>595</v>
      </c>
      <c r="V249" s="14"/>
      <c r="W249" s="14"/>
      <c r="X249" s="14"/>
      <c r="Y249" s="14"/>
      <c r="Z249" s="14"/>
      <c r="AA249" s="14"/>
      <c r="AB249" s="14"/>
      <c r="AC249" s="14"/>
      <c r="AD249" s="14"/>
    </row>
    <row r="250" spans="1:30" x14ac:dyDescent="0.25">
      <c r="A250" s="14"/>
      <c r="B250" s="15"/>
      <c r="C250" s="50"/>
      <c r="D250" s="16"/>
      <c r="E250" s="16"/>
      <c r="F250" s="16"/>
      <c r="G250" s="27"/>
      <c r="H250" s="16"/>
      <c r="I250" s="19"/>
      <c r="J250" s="16"/>
      <c r="K250" s="20"/>
      <c r="L250" s="16"/>
      <c r="M250" s="21"/>
      <c r="N250" s="22"/>
      <c r="O250" s="22"/>
      <c r="P250" s="22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spans="1:30" x14ac:dyDescent="0.25">
      <c r="A251" s="14" t="s">
        <v>301</v>
      </c>
      <c r="B251" s="15" t="s">
        <v>302</v>
      </c>
      <c r="C251" s="50">
        <v>30.8</v>
      </c>
      <c r="D251" s="16">
        <f t="shared" ref="D251:D255" si="64">PRODUCT(C251,$D$1)</f>
        <v>82.236000000000004</v>
      </c>
      <c r="E251" s="16"/>
      <c r="F251" s="16"/>
      <c r="G251" s="27">
        <f>D251+E251</f>
        <v>82.236000000000004</v>
      </c>
      <c r="H251" s="16"/>
      <c r="I251" s="19"/>
      <c r="J251" s="16"/>
      <c r="K251" s="20"/>
      <c r="L251" s="16"/>
      <c r="M251" s="21"/>
      <c r="N251" s="22">
        <v>500</v>
      </c>
      <c r="O251" s="22">
        <v>720</v>
      </c>
      <c r="P251" s="22">
        <v>330</v>
      </c>
      <c r="Q251" s="14" t="s">
        <v>456</v>
      </c>
      <c r="R251" s="14" t="s">
        <v>463</v>
      </c>
      <c r="S251" s="14">
        <v>2</v>
      </c>
      <c r="T251" s="14">
        <v>715</v>
      </c>
      <c r="U251" s="14">
        <v>495</v>
      </c>
      <c r="V251" s="14"/>
      <c r="W251" s="14"/>
      <c r="X251" s="14"/>
      <c r="Y251" s="14"/>
      <c r="Z251" s="14"/>
      <c r="AA251" s="14"/>
      <c r="AB251" s="14"/>
      <c r="AC251" s="14"/>
      <c r="AD251" s="14"/>
    </row>
    <row r="252" spans="1:30" x14ac:dyDescent="0.25">
      <c r="A252" s="14" t="s">
        <v>303</v>
      </c>
      <c r="B252" s="15" t="s">
        <v>304</v>
      </c>
      <c r="C252" s="50">
        <v>31.9</v>
      </c>
      <c r="D252" s="16">
        <f t="shared" si="64"/>
        <v>85.172999999999988</v>
      </c>
      <c r="E252" s="16"/>
      <c r="F252" s="16"/>
      <c r="G252" s="27">
        <f>D252+E252</f>
        <v>85.172999999999988</v>
      </c>
      <c r="H252" s="16"/>
      <c r="I252" s="19"/>
      <c r="J252" s="16"/>
      <c r="K252" s="20"/>
      <c r="L252" s="16"/>
      <c r="M252" s="21"/>
      <c r="N252" s="22">
        <v>600</v>
      </c>
      <c r="O252" s="22">
        <v>720</v>
      </c>
      <c r="P252" s="22">
        <v>330</v>
      </c>
      <c r="Q252" s="14" t="s">
        <v>456</v>
      </c>
      <c r="R252" s="14" t="s">
        <v>463</v>
      </c>
      <c r="S252" s="14">
        <v>2</v>
      </c>
      <c r="T252" s="14">
        <v>715</v>
      </c>
      <c r="U252" s="14">
        <v>595</v>
      </c>
      <c r="V252" s="14"/>
      <c r="W252" s="14"/>
      <c r="X252" s="14"/>
      <c r="Y252" s="14"/>
      <c r="Z252" s="14"/>
      <c r="AA252" s="14"/>
      <c r="AB252" s="14"/>
      <c r="AC252" s="14"/>
      <c r="AD252" s="14"/>
    </row>
    <row r="253" spans="1:30" x14ac:dyDescent="0.25">
      <c r="A253" s="14" t="s">
        <v>305</v>
      </c>
      <c r="B253" s="15" t="s">
        <v>306</v>
      </c>
      <c r="C253" s="50">
        <v>37.4</v>
      </c>
      <c r="D253" s="16">
        <f t="shared" si="64"/>
        <v>99.85799999999999</v>
      </c>
      <c r="E253" s="16"/>
      <c r="F253" s="16"/>
      <c r="G253" s="27">
        <f>D253+E253</f>
        <v>99.85799999999999</v>
      </c>
      <c r="H253" s="16"/>
      <c r="I253" s="19"/>
      <c r="J253" s="16"/>
      <c r="K253" s="20"/>
      <c r="L253" s="16"/>
      <c r="M253" s="21"/>
      <c r="N253" s="22">
        <v>800</v>
      </c>
      <c r="O253" s="22">
        <v>720</v>
      </c>
      <c r="P253" s="22">
        <v>330</v>
      </c>
      <c r="Q253" s="14" t="s">
        <v>456</v>
      </c>
      <c r="R253" s="14" t="s">
        <v>463</v>
      </c>
      <c r="S253" s="14">
        <v>4</v>
      </c>
      <c r="T253" s="14">
        <v>715</v>
      </c>
      <c r="U253" s="14">
        <v>395</v>
      </c>
      <c r="V253" s="14"/>
      <c r="W253" s="14"/>
      <c r="X253" s="14"/>
      <c r="Y253" s="14"/>
      <c r="Z253" s="14"/>
      <c r="AA253" s="14"/>
      <c r="AB253" s="14"/>
      <c r="AC253" s="14"/>
      <c r="AD253" s="14"/>
    </row>
    <row r="254" spans="1:30" x14ac:dyDescent="0.25">
      <c r="A254" s="14" t="s">
        <v>307</v>
      </c>
      <c r="B254" s="15" t="s">
        <v>308</v>
      </c>
      <c r="C254" s="50">
        <v>40.700000000000003</v>
      </c>
      <c r="D254" s="16">
        <f t="shared" si="64"/>
        <v>108.66900000000001</v>
      </c>
      <c r="E254" s="16"/>
      <c r="F254" s="16"/>
      <c r="G254" s="27">
        <f>D254+E254</f>
        <v>108.66900000000001</v>
      </c>
      <c r="H254" s="16"/>
      <c r="I254" s="19"/>
      <c r="J254" s="16"/>
      <c r="K254" s="20"/>
      <c r="L254" s="16"/>
      <c r="M254" s="21"/>
      <c r="N254" s="22">
        <v>1000</v>
      </c>
      <c r="O254" s="22">
        <v>720</v>
      </c>
      <c r="P254" s="22">
        <v>330</v>
      </c>
      <c r="Q254" s="14" t="s">
        <v>456</v>
      </c>
      <c r="R254" s="14" t="s">
        <v>463</v>
      </c>
      <c r="S254" s="14">
        <v>4</v>
      </c>
      <c r="T254" s="14">
        <v>715</v>
      </c>
      <c r="U254" s="14">
        <v>495</v>
      </c>
      <c r="V254" s="14"/>
      <c r="W254" s="14"/>
      <c r="X254" s="14"/>
      <c r="Y254" s="14"/>
      <c r="Z254" s="14"/>
      <c r="AA254" s="14"/>
      <c r="AB254" s="14"/>
      <c r="AC254" s="14"/>
      <c r="AD254" s="14"/>
    </row>
    <row r="255" spans="1:30" x14ac:dyDescent="0.25">
      <c r="A255" s="14" t="s">
        <v>309</v>
      </c>
      <c r="B255" s="15" t="s">
        <v>310</v>
      </c>
      <c r="C255" s="50">
        <v>42.9</v>
      </c>
      <c r="D255" s="16">
        <f t="shared" si="64"/>
        <v>114.54299999999999</v>
      </c>
      <c r="E255" s="16"/>
      <c r="F255" s="16"/>
      <c r="G255" s="27">
        <f>D255+E255</f>
        <v>114.54299999999999</v>
      </c>
      <c r="H255" s="16"/>
      <c r="I255" s="19"/>
      <c r="J255" s="16"/>
      <c r="K255" s="20"/>
      <c r="L255" s="16"/>
      <c r="M255" s="21"/>
      <c r="N255" s="22">
        <v>1200</v>
      </c>
      <c r="O255" s="22">
        <v>720</v>
      </c>
      <c r="P255" s="22">
        <v>330</v>
      </c>
      <c r="Q255" s="14" t="s">
        <v>456</v>
      </c>
      <c r="R255" s="14" t="s">
        <v>463</v>
      </c>
      <c r="S255" s="14">
        <v>4</v>
      </c>
      <c r="T255" s="14">
        <v>715</v>
      </c>
      <c r="U255" s="14">
        <v>595</v>
      </c>
      <c r="V255" s="14"/>
      <c r="W255" s="14"/>
      <c r="X255" s="14"/>
      <c r="Y255" s="14"/>
      <c r="Z255" s="14"/>
      <c r="AA255" s="14"/>
      <c r="AB255" s="14"/>
      <c r="AC255" s="14"/>
      <c r="AD255" s="14"/>
    </row>
    <row r="256" spans="1:30" x14ac:dyDescent="0.25">
      <c r="A256" s="14"/>
      <c r="B256" s="25" t="s">
        <v>311</v>
      </c>
      <c r="C256" s="50"/>
      <c r="D256" s="16"/>
      <c r="E256" s="16"/>
      <c r="F256" s="16"/>
      <c r="G256" s="27"/>
      <c r="H256" s="16"/>
      <c r="I256" s="19"/>
      <c r="J256" s="16"/>
      <c r="K256" s="20"/>
      <c r="L256" s="16"/>
      <c r="M256" s="21"/>
      <c r="N256" s="22"/>
      <c r="O256" s="22"/>
      <c r="P256" s="22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 spans="1:30" x14ac:dyDescent="0.25">
      <c r="A257" s="14"/>
      <c r="B257" s="15"/>
      <c r="C257" s="50"/>
      <c r="D257" s="16"/>
      <c r="E257" s="16"/>
      <c r="F257" s="16"/>
      <c r="G257" s="27"/>
      <c r="H257" s="16"/>
      <c r="I257" s="19"/>
      <c r="J257" s="16"/>
      <c r="K257" s="20"/>
      <c r="L257" s="16"/>
      <c r="M257" s="21"/>
      <c r="N257" s="22"/>
      <c r="O257" s="22"/>
      <c r="P257" s="22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1:30" x14ac:dyDescent="0.25">
      <c r="A258" s="14"/>
      <c r="B258" s="15"/>
      <c r="C258" s="50"/>
      <c r="D258" s="16"/>
      <c r="E258" s="16"/>
      <c r="F258" s="16"/>
      <c r="G258" s="27"/>
      <c r="H258" s="16"/>
      <c r="I258" s="19"/>
      <c r="J258" s="16"/>
      <c r="K258" s="20"/>
      <c r="L258" s="16"/>
      <c r="M258" s="21"/>
      <c r="N258" s="22"/>
      <c r="O258" s="22"/>
      <c r="P258" s="22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 spans="1:30" x14ac:dyDescent="0.25">
      <c r="A259" s="14" t="s">
        <v>312</v>
      </c>
      <c r="B259" s="15" t="s">
        <v>313</v>
      </c>
      <c r="C259" s="50">
        <v>29.7</v>
      </c>
      <c r="D259" s="16">
        <f t="shared" ref="D259:D264" si="65">PRODUCT(C259,$D$1)</f>
        <v>79.298999999999992</v>
      </c>
      <c r="E259" s="16"/>
      <c r="F259" s="16"/>
      <c r="G259" s="27">
        <f t="shared" ref="G259:G264" si="66">D259+E259</f>
        <v>79.298999999999992</v>
      </c>
      <c r="H259" s="16"/>
      <c r="I259" s="19"/>
      <c r="J259" s="16"/>
      <c r="K259" s="20"/>
      <c r="L259" s="16"/>
      <c r="M259" s="21"/>
      <c r="N259" s="22">
        <v>500</v>
      </c>
      <c r="O259" s="22"/>
      <c r="P259" s="22">
        <v>560</v>
      </c>
      <c r="Q259" s="14" t="s">
        <v>464</v>
      </c>
      <c r="R259" s="14" t="s">
        <v>433</v>
      </c>
      <c r="S259" s="14">
        <v>1</v>
      </c>
      <c r="T259" s="14"/>
      <c r="U259" s="14">
        <v>495</v>
      </c>
      <c r="V259" s="14"/>
      <c r="W259" s="14"/>
      <c r="X259" s="14"/>
      <c r="Y259" s="14"/>
      <c r="Z259" s="14"/>
      <c r="AA259" s="14"/>
      <c r="AB259" s="14"/>
      <c r="AC259" s="14"/>
      <c r="AD259" s="14"/>
    </row>
    <row r="260" spans="1:30" x14ac:dyDescent="0.25">
      <c r="A260" s="14" t="s">
        <v>314</v>
      </c>
      <c r="B260" s="15" t="s">
        <v>315</v>
      </c>
      <c r="C260" s="50">
        <v>30.8</v>
      </c>
      <c r="D260" s="16">
        <f t="shared" si="65"/>
        <v>82.236000000000004</v>
      </c>
      <c r="E260" s="16"/>
      <c r="F260" s="16"/>
      <c r="G260" s="27">
        <f t="shared" si="66"/>
        <v>82.236000000000004</v>
      </c>
      <c r="H260" s="16"/>
      <c r="I260" s="19"/>
      <c r="J260" s="16"/>
      <c r="K260" s="20"/>
      <c r="L260" s="16"/>
      <c r="M260" s="21"/>
      <c r="N260" s="22">
        <v>600</v>
      </c>
      <c r="O260" s="22"/>
      <c r="P260" s="22">
        <v>560</v>
      </c>
      <c r="Q260" s="14" t="s">
        <v>464</v>
      </c>
      <c r="R260" s="14" t="s">
        <v>433</v>
      </c>
      <c r="S260" s="14">
        <v>1</v>
      </c>
      <c r="T260" s="14"/>
      <c r="U260" s="14">
        <v>595</v>
      </c>
      <c r="V260" s="14"/>
      <c r="W260" s="14"/>
      <c r="X260" s="14"/>
      <c r="Y260" s="14"/>
      <c r="Z260" s="14"/>
      <c r="AA260" s="14"/>
      <c r="AB260" s="14"/>
      <c r="AC260" s="14"/>
      <c r="AD260" s="14"/>
    </row>
    <row r="261" spans="1:30" x14ac:dyDescent="0.25">
      <c r="A261" s="14" t="s">
        <v>316</v>
      </c>
      <c r="B261" s="15" t="s">
        <v>317</v>
      </c>
      <c r="C261" s="50">
        <v>30.8</v>
      </c>
      <c r="D261" s="16">
        <f t="shared" si="65"/>
        <v>82.236000000000004</v>
      </c>
      <c r="E261" s="16"/>
      <c r="F261" s="16"/>
      <c r="G261" s="27">
        <f t="shared" si="66"/>
        <v>82.236000000000004</v>
      </c>
      <c r="H261" s="16"/>
      <c r="I261" s="19"/>
      <c r="J261" s="16"/>
      <c r="K261" s="20"/>
      <c r="L261" s="16"/>
      <c r="M261" s="21"/>
      <c r="N261" s="22">
        <v>500</v>
      </c>
      <c r="O261" s="22"/>
      <c r="P261" s="22">
        <v>560</v>
      </c>
      <c r="Q261" s="14" t="s">
        <v>464</v>
      </c>
      <c r="R261" s="14" t="s">
        <v>430</v>
      </c>
      <c r="S261" s="14">
        <v>1</v>
      </c>
      <c r="T261" s="14"/>
      <c r="U261" s="14">
        <v>495</v>
      </c>
      <c r="V261" s="14"/>
      <c r="W261" s="14"/>
      <c r="X261" s="14"/>
      <c r="Y261" s="14"/>
      <c r="Z261" s="14"/>
      <c r="AA261" s="14"/>
      <c r="AB261" s="14"/>
      <c r="AC261" s="14"/>
      <c r="AD261" s="14"/>
    </row>
    <row r="262" spans="1:30" x14ac:dyDescent="0.25">
      <c r="A262" s="14" t="s">
        <v>318</v>
      </c>
      <c r="B262" s="15" t="s">
        <v>319</v>
      </c>
      <c r="C262" s="50">
        <v>33</v>
      </c>
      <c r="D262" s="16">
        <f t="shared" si="65"/>
        <v>88.11</v>
      </c>
      <c r="E262" s="16"/>
      <c r="F262" s="16"/>
      <c r="G262" s="27">
        <f t="shared" si="66"/>
        <v>88.11</v>
      </c>
      <c r="H262" s="16"/>
      <c r="I262" s="19"/>
      <c r="J262" s="16"/>
      <c r="K262" s="20"/>
      <c r="L262" s="16"/>
      <c r="M262" s="21"/>
      <c r="N262" s="22">
        <v>600</v>
      </c>
      <c r="O262" s="22"/>
      <c r="P262" s="22">
        <v>560</v>
      </c>
      <c r="Q262" s="14" t="s">
        <v>464</v>
      </c>
      <c r="R262" s="14" t="s">
        <v>430</v>
      </c>
      <c r="S262" s="14">
        <v>1</v>
      </c>
      <c r="T262" s="14"/>
      <c r="U262" s="14">
        <v>595</v>
      </c>
      <c r="V262" s="14"/>
      <c r="W262" s="14"/>
      <c r="X262" s="14"/>
      <c r="Y262" s="14"/>
      <c r="Z262" s="14"/>
      <c r="AA262" s="14"/>
      <c r="AB262" s="14"/>
      <c r="AC262" s="14"/>
      <c r="AD262" s="14"/>
    </row>
    <row r="263" spans="1:30" x14ac:dyDescent="0.25">
      <c r="A263" s="14" t="s">
        <v>320</v>
      </c>
      <c r="B263" s="15" t="s">
        <v>321</v>
      </c>
      <c r="C263" s="50">
        <v>34.1</v>
      </c>
      <c r="D263" s="16">
        <f t="shared" si="65"/>
        <v>91.046999999999997</v>
      </c>
      <c r="E263" s="16"/>
      <c r="F263" s="16"/>
      <c r="G263" s="27">
        <f t="shared" si="66"/>
        <v>91.046999999999997</v>
      </c>
      <c r="H263" s="16"/>
      <c r="I263" s="19"/>
      <c r="J263" s="16"/>
      <c r="K263" s="20"/>
      <c r="L263" s="16"/>
      <c r="M263" s="21"/>
      <c r="N263" s="22">
        <v>500</v>
      </c>
      <c r="O263" s="22"/>
      <c r="P263" s="22">
        <v>560</v>
      </c>
      <c r="Q263" s="14" t="s">
        <v>464</v>
      </c>
      <c r="R263" s="14" t="s">
        <v>431</v>
      </c>
      <c r="S263" s="14">
        <v>1</v>
      </c>
      <c r="T263" s="14"/>
      <c r="U263" s="14">
        <v>495</v>
      </c>
      <c r="V263" s="14"/>
      <c r="W263" s="14"/>
      <c r="X263" s="14"/>
      <c r="Y263" s="14"/>
      <c r="Z263" s="14"/>
      <c r="AA263" s="14"/>
      <c r="AB263" s="14"/>
      <c r="AC263" s="14"/>
      <c r="AD263" s="14"/>
    </row>
    <row r="264" spans="1:30" x14ac:dyDescent="0.25">
      <c r="A264" s="14" t="s">
        <v>322</v>
      </c>
      <c r="B264" s="15" t="s">
        <v>323</v>
      </c>
      <c r="C264" s="50">
        <v>35.200000000000003</v>
      </c>
      <c r="D264" s="16">
        <f t="shared" si="65"/>
        <v>93.984000000000009</v>
      </c>
      <c r="E264" s="16"/>
      <c r="F264" s="16"/>
      <c r="G264" s="27">
        <f t="shared" si="66"/>
        <v>93.984000000000009</v>
      </c>
      <c r="H264" s="16"/>
      <c r="I264" s="19"/>
      <c r="J264" s="16"/>
      <c r="K264" s="20"/>
      <c r="L264" s="16"/>
      <c r="M264" s="21"/>
      <c r="N264" s="22">
        <v>600</v>
      </c>
      <c r="O264" s="22"/>
      <c r="P264" s="22">
        <v>560</v>
      </c>
      <c r="Q264" s="14" t="s">
        <v>464</v>
      </c>
      <c r="R264" s="14" t="s">
        <v>431</v>
      </c>
      <c r="S264" s="14">
        <v>1</v>
      </c>
      <c r="T264" s="14"/>
      <c r="U264" s="14">
        <v>595</v>
      </c>
      <c r="V264" s="14"/>
      <c r="W264" s="14"/>
      <c r="X264" s="14"/>
      <c r="Y264" s="14"/>
      <c r="Z264" s="14"/>
      <c r="AA264" s="14"/>
      <c r="AB264" s="14"/>
      <c r="AC264" s="14"/>
      <c r="AD264" s="14"/>
    </row>
    <row r="265" spans="1:30" x14ac:dyDescent="0.25">
      <c r="A265" s="14"/>
      <c r="B265" s="15"/>
      <c r="C265" s="50"/>
      <c r="D265" s="16"/>
      <c r="E265" s="16"/>
      <c r="F265" s="16"/>
      <c r="G265" s="27"/>
      <c r="H265" s="16"/>
      <c r="I265" s="19"/>
      <c r="J265" s="16"/>
      <c r="K265" s="20"/>
      <c r="L265" s="16"/>
      <c r="M265" s="21"/>
      <c r="N265" s="22"/>
      <c r="O265" s="22"/>
      <c r="P265" s="22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 spans="1:30" x14ac:dyDescent="0.25">
      <c r="A266" s="14"/>
      <c r="B266" s="15"/>
      <c r="C266" s="50"/>
      <c r="D266" s="16"/>
      <c r="E266" s="16"/>
      <c r="F266" s="16"/>
      <c r="G266" s="27"/>
      <c r="H266" s="16"/>
      <c r="I266" s="19"/>
      <c r="J266" s="16"/>
      <c r="K266" s="20"/>
      <c r="L266" s="16"/>
      <c r="M266" s="21"/>
      <c r="N266" s="22"/>
      <c r="O266" s="22"/>
      <c r="P266" s="22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spans="1:30" x14ac:dyDescent="0.25">
      <c r="A267" s="14" t="s">
        <v>324</v>
      </c>
      <c r="B267" s="15" t="s">
        <v>325</v>
      </c>
      <c r="C267" s="50">
        <v>34.1</v>
      </c>
      <c r="D267" s="16">
        <f t="shared" ref="D267:D270" si="67">PRODUCT(C267,$D$1)</f>
        <v>91.046999999999997</v>
      </c>
      <c r="E267" s="16"/>
      <c r="F267" s="16"/>
      <c r="G267" s="27">
        <f>D267+E267</f>
        <v>91.046999999999997</v>
      </c>
      <c r="H267" s="16"/>
      <c r="I267" s="19"/>
      <c r="J267" s="16"/>
      <c r="K267" s="20"/>
      <c r="L267" s="16"/>
      <c r="M267" s="21"/>
      <c r="N267" s="22"/>
      <c r="O267" s="22"/>
      <c r="P267" s="22"/>
      <c r="Q267" s="14" t="s">
        <v>479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 spans="1:30" x14ac:dyDescent="0.25">
      <c r="A268" s="14" t="s">
        <v>326</v>
      </c>
      <c r="B268" s="15" t="s">
        <v>327</v>
      </c>
      <c r="C268" s="50">
        <v>34.1</v>
      </c>
      <c r="D268" s="16">
        <f t="shared" si="67"/>
        <v>91.046999999999997</v>
      </c>
      <c r="E268" s="16"/>
      <c r="F268" s="16"/>
      <c r="G268" s="27">
        <f>D268+E268</f>
        <v>91.046999999999997</v>
      </c>
      <c r="H268" s="16"/>
      <c r="I268" s="19"/>
      <c r="J268" s="16"/>
      <c r="K268" s="20"/>
      <c r="L268" s="16"/>
      <c r="M268" s="21"/>
      <c r="N268" s="22"/>
      <c r="O268" s="22"/>
      <c r="P268" s="22"/>
      <c r="Q268" s="14" t="s">
        <v>479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 spans="1:30" x14ac:dyDescent="0.25">
      <c r="A269" s="14" t="s">
        <v>328</v>
      </c>
      <c r="B269" s="15" t="s">
        <v>329</v>
      </c>
      <c r="C269" s="50">
        <v>51.7</v>
      </c>
      <c r="D269" s="16">
        <f t="shared" si="67"/>
        <v>138.03900000000002</v>
      </c>
      <c r="E269" s="16"/>
      <c r="F269" s="16"/>
      <c r="G269" s="27">
        <f>D269+E269</f>
        <v>138.03900000000002</v>
      </c>
      <c r="H269" s="16"/>
      <c r="I269" s="19"/>
      <c r="J269" s="16"/>
      <c r="K269" s="20"/>
      <c r="L269" s="16"/>
      <c r="M269" s="21"/>
      <c r="N269" s="22"/>
      <c r="O269" s="22"/>
      <c r="P269" s="22"/>
      <c r="Q269" s="14" t="s">
        <v>479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 spans="1:30" x14ac:dyDescent="0.25">
      <c r="A270" s="14" t="s">
        <v>330</v>
      </c>
      <c r="B270" s="15" t="s">
        <v>331</v>
      </c>
      <c r="C270" s="50">
        <v>74.8</v>
      </c>
      <c r="D270" s="16">
        <f t="shared" si="67"/>
        <v>199.71599999999998</v>
      </c>
      <c r="E270" s="16"/>
      <c r="F270" s="16"/>
      <c r="G270" s="27">
        <f>D270+E270</f>
        <v>199.71599999999998</v>
      </c>
      <c r="H270" s="16"/>
      <c r="I270" s="19"/>
      <c r="J270" s="16"/>
      <c r="K270" s="20"/>
      <c r="L270" s="16"/>
      <c r="M270" s="21"/>
      <c r="N270" s="22"/>
      <c r="O270" s="22"/>
      <c r="P270" s="22"/>
      <c r="Q270" s="14" t="s">
        <v>479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spans="1:30" x14ac:dyDescent="0.25">
      <c r="A271" s="14"/>
      <c r="B271" s="15"/>
      <c r="C271" s="70"/>
      <c r="D271" s="28"/>
      <c r="E271" s="28"/>
      <c r="F271" s="28"/>
      <c r="G271" s="71"/>
      <c r="H271" s="28"/>
      <c r="I271" s="82"/>
      <c r="J271" s="28"/>
      <c r="K271" s="30"/>
      <c r="L271" s="28"/>
      <c r="M271" s="31"/>
      <c r="N271" s="32"/>
      <c r="O271" s="32"/>
      <c r="P271" s="32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spans="1:30" ht="15.75" thickBot="1" x14ac:dyDescent="0.3">
      <c r="A272" s="35"/>
      <c r="B272" s="75"/>
      <c r="C272" s="91"/>
      <c r="D272" s="92"/>
      <c r="E272" s="92"/>
      <c r="F272" s="92"/>
      <c r="G272" s="76"/>
      <c r="H272" s="76"/>
      <c r="I272" s="76"/>
      <c r="J272" s="76"/>
      <c r="K272" s="76"/>
      <c r="L272" s="76"/>
      <c r="M272" s="76"/>
      <c r="N272" s="77"/>
      <c r="O272" s="77"/>
      <c r="P272" s="77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</row>
    <row r="273" spans="2:25" x14ac:dyDescent="0.25">
      <c r="B273" s="89" t="s">
        <v>565</v>
      </c>
      <c r="C273" s="93"/>
      <c r="D273" s="94"/>
      <c r="E273" s="95">
        <v>12.63</v>
      </c>
      <c r="F273" s="105"/>
      <c r="G273" s="5"/>
      <c r="H273" s="5"/>
      <c r="I273" s="5"/>
      <c r="J273" s="5"/>
      <c r="K273" s="5"/>
      <c r="L273" s="5"/>
      <c r="M273" s="5"/>
      <c r="N273" s="1"/>
      <c r="O273" s="1"/>
      <c r="P273" s="3"/>
      <c r="S273" s="2"/>
      <c r="U273" s="2"/>
      <c r="V273" s="2"/>
      <c r="X273" s="2"/>
      <c r="Y273" s="2"/>
    </row>
    <row r="274" spans="2:25" x14ac:dyDescent="0.25">
      <c r="B274" s="89" t="s">
        <v>566</v>
      </c>
      <c r="C274" s="93"/>
      <c r="D274" s="94"/>
      <c r="E274" s="95">
        <v>15.04</v>
      </c>
      <c r="F274" s="105"/>
      <c r="G274" s="5"/>
      <c r="H274" s="5"/>
      <c r="I274" s="5"/>
      <c r="J274" s="5"/>
      <c r="K274" s="5"/>
      <c r="L274" s="5"/>
      <c r="M274" s="5"/>
      <c r="N274" s="1"/>
      <c r="O274" s="1"/>
      <c r="P274" s="3"/>
      <c r="S274" s="2"/>
      <c r="U274" s="2"/>
      <c r="V274" s="2"/>
      <c r="X274" s="2"/>
      <c r="Y274" s="2"/>
    </row>
    <row r="275" spans="2:25" x14ac:dyDescent="0.25">
      <c r="B275" s="89" t="s">
        <v>567</v>
      </c>
      <c r="C275" s="96"/>
      <c r="D275" s="97"/>
      <c r="E275" s="95">
        <v>17.48</v>
      </c>
      <c r="F275" s="106"/>
    </row>
    <row r="276" spans="2:25" x14ac:dyDescent="0.25">
      <c r="B276" s="89" t="s">
        <v>568</v>
      </c>
      <c r="C276" s="96"/>
      <c r="D276" s="97"/>
      <c r="E276" s="95">
        <v>22.28</v>
      </c>
      <c r="F276" s="106"/>
    </row>
    <row r="277" spans="2:25" x14ac:dyDescent="0.25">
      <c r="B277" s="89" t="s">
        <v>569</v>
      </c>
      <c r="C277" s="96"/>
      <c r="D277" s="97"/>
      <c r="E277" s="95">
        <v>27.18</v>
      </c>
      <c r="F277" s="106"/>
    </row>
    <row r="278" spans="2:25" x14ac:dyDescent="0.25">
      <c r="B278" s="89" t="s">
        <v>570</v>
      </c>
      <c r="C278" s="96"/>
      <c r="D278" s="97"/>
      <c r="E278" s="95">
        <v>28.19</v>
      </c>
      <c r="F278" s="106"/>
    </row>
    <row r="279" spans="2:25" x14ac:dyDescent="0.25">
      <c r="B279" s="89"/>
      <c r="C279" s="96"/>
      <c r="D279" s="97"/>
      <c r="E279" s="95"/>
      <c r="F279" s="106"/>
    </row>
    <row r="280" spans="2:25" x14ac:dyDescent="0.25">
      <c r="B280" s="89" t="s">
        <v>571</v>
      </c>
      <c r="C280" s="96"/>
      <c r="D280" s="97"/>
      <c r="E280" s="95">
        <v>10.96</v>
      </c>
      <c r="F280" s="106"/>
    </row>
    <row r="281" spans="2:25" x14ac:dyDescent="0.25">
      <c r="B281" s="89" t="s">
        <v>572</v>
      </c>
      <c r="C281" s="96"/>
      <c r="D281" s="97"/>
      <c r="E281" s="95">
        <v>13.08</v>
      </c>
      <c r="F281" s="106"/>
    </row>
    <row r="282" spans="2:25" x14ac:dyDescent="0.25">
      <c r="B282" s="89" t="s">
        <v>573</v>
      </c>
      <c r="C282" s="96"/>
      <c r="D282" s="97"/>
      <c r="E282" s="95">
        <v>15.21</v>
      </c>
      <c r="F282" s="106"/>
    </row>
    <row r="283" spans="2:25" x14ac:dyDescent="0.25">
      <c r="B283" s="89" t="s">
        <v>574</v>
      </c>
      <c r="C283" s="96"/>
      <c r="D283" s="97"/>
      <c r="E283" s="95">
        <v>20.46</v>
      </c>
      <c r="F283" s="106"/>
    </row>
    <row r="284" spans="2:25" x14ac:dyDescent="0.25">
      <c r="B284" s="89" t="s">
        <v>575</v>
      </c>
      <c r="C284" s="96"/>
      <c r="D284" s="97"/>
      <c r="E284" s="95">
        <v>24.74</v>
      </c>
      <c r="F284" s="106"/>
    </row>
    <row r="285" spans="2:25" ht="15.75" thickBot="1" x14ac:dyDescent="0.3">
      <c r="B285" s="90" t="s">
        <v>576</v>
      </c>
      <c r="C285" s="96"/>
      <c r="D285" s="97"/>
      <c r="E285" s="95">
        <v>25.91</v>
      </c>
      <c r="F285" s="106"/>
    </row>
    <row r="286" spans="2:25" x14ac:dyDescent="0.25">
      <c r="C286" s="96"/>
      <c r="D286" s="97"/>
      <c r="E286" s="97"/>
      <c r="F286" s="107"/>
    </row>
    <row r="287" spans="2:25" x14ac:dyDescent="0.25">
      <c r="B287" s="89" t="s">
        <v>599</v>
      </c>
      <c r="C287" s="96"/>
      <c r="D287" s="97"/>
      <c r="E287" s="98">
        <v>9.52</v>
      </c>
      <c r="F287" s="108"/>
    </row>
    <row r="288" spans="2:25" x14ac:dyDescent="0.25">
      <c r="B288" s="89" t="s">
        <v>605</v>
      </c>
      <c r="C288" s="96"/>
      <c r="D288" s="97"/>
      <c r="E288" s="98">
        <v>10.42</v>
      </c>
      <c r="F288" s="108"/>
    </row>
    <row r="289" spans="2:6" x14ac:dyDescent="0.25">
      <c r="B289" s="89" t="s">
        <v>600</v>
      </c>
      <c r="C289" s="96"/>
      <c r="D289" s="97"/>
      <c r="E289" s="98">
        <v>11.35</v>
      </c>
      <c r="F289" s="108"/>
    </row>
    <row r="290" spans="2:6" x14ac:dyDescent="0.25">
      <c r="B290" s="89" t="s">
        <v>601</v>
      </c>
      <c r="C290" s="96"/>
      <c r="D290" s="97"/>
      <c r="E290" s="98">
        <v>12.66</v>
      </c>
      <c r="F290" s="108"/>
    </row>
    <row r="291" spans="2:6" x14ac:dyDescent="0.25">
      <c r="B291" s="89" t="s">
        <v>602</v>
      </c>
      <c r="C291" s="96"/>
      <c r="D291" s="97"/>
      <c r="E291" s="98">
        <v>17.8</v>
      </c>
      <c r="F291" s="108"/>
    </row>
    <row r="292" spans="2:6" x14ac:dyDescent="0.25">
      <c r="B292" s="89" t="s">
        <v>603</v>
      </c>
      <c r="C292" s="96"/>
      <c r="D292" s="97"/>
      <c r="E292" s="98">
        <v>21.5</v>
      </c>
      <c r="F292" s="108"/>
    </row>
    <row r="293" spans="2:6" ht="15.75" thickBot="1" x14ac:dyDescent="0.3">
      <c r="B293" s="90" t="s">
        <v>604</v>
      </c>
      <c r="C293" s="96"/>
      <c r="D293" s="97"/>
      <c r="E293" s="98">
        <v>21.5</v>
      </c>
      <c r="F293" s="108"/>
    </row>
    <row r="294" spans="2:6" x14ac:dyDescent="0.25">
      <c r="C294" s="96"/>
      <c r="D294" s="97"/>
      <c r="E294" s="97"/>
      <c r="F294" s="107"/>
    </row>
    <row r="295" spans="2:6" x14ac:dyDescent="0.25">
      <c r="B295" s="89" t="s">
        <v>613</v>
      </c>
      <c r="C295" s="96"/>
      <c r="D295" s="97"/>
      <c r="E295" s="98">
        <v>17.010000000000002</v>
      </c>
      <c r="F295" s="108"/>
    </row>
    <row r="296" spans="2:6" x14ac:dyDescent="0.25">
      <c r="B296" s="89" t="s">
        <v>607</v>
      </c>
      <c r="C296" s="96"/>
      <c r="D296" s="97"/>
      <c r="E296" s="98">
        <v>17.010000000000002</v>
      </c>
      <c r="F296" s="108"/>
    </row>
    <row r="297" spans="2:6" x14ac:dyDescent="0.25">
      <c r="B297" s="89" t="s">
        <v>608</v>
      </c>
      <c r="C297" s="96"/>
      <c r="D297" s="97"/>
      <c r="E297" s="98">
        <v>22.2</v>
      </c>
      <c r="F297" s="108"/>
    </row>
    <row r="298" spans="2:6" x14ac:dyDescent="0.25">
      <c r="B298" s="89" t="s">
        <v>609</v>
      </c>
      <c r="C298" s="96"/>
      <c r="D298" s="97"/>
      <c r="E298" s="98">
        <v>22.9</v>
      </c>
      <c r="F298" s="108"/>
    </row>
    <row r="299" spans="2:6" x14ac:dyDescent="0.25">
      <c r="B299" s="89" t="s">
        <v>610</v>
      </c>
      <c r="C299" s="96"/>
      <c r="D299" s="97"/>
      <c r="E299" s="98">
        <v>31.2</v>
      </c>
      <c r="F299" s="108"/>
    </row>
    <row r="300" spans="2:6" x14ac:dyDescent="0.25">
      <c r="B300" s="89" t="s">
        <v>611</v>
      </c>
      <c r="C300" s="96"/>
      <c r="D300" s="97"/>
      <c r="E300" s="98">
        <v>39.020000000000003</v>
      </c>
      <c r="F300" s="108"/>
    </row>
    <row r="301" spans="2:6" ht="15.75" thickBot="1" x14ac:dyDescent="0.3">
      <c r="B301" s="90" t="s">
        <v>612</v>
      </c>
      <c r="C301" s="96"/>
      <c r="D301" s="97"/>
      <c r="E301" s="98">
        <v>39.020000000000003</v>
      </c>
      <c r="F301" s="108"/>
    </row>
    <row r="302" spans="2:6" x14ac:dyDescent="0.25">
      <c r="C302" s="96"/>
      <c r="D302" s="97"/>
      <c r="E302" s="98"/>
      <c r="F302" s="108"/>
    </row>
    <row r="303" spans="2:6" x14ac:dyDescent="0.25">
      <c r="B303" s="89" t="s">
        <v>620</v>
      </c>
      <c r="C303" s="96"/>
      <c r="D303" s="97"/>
      <c r="E303" s="98">
        <v>13.98</v>
      </c>
      <c r="F303" s="108"/>
    </row>
    <row r="304" spans="2:6" x14ac:dyDescent="0.25">
      <c r="B304" s="89" t="s">
        <v>615</v>
      </c>
      <c r="C304" s="96"/>
      <c r="D304" s="97"/>
      <c r="E304" s="98">
        <v>13.98</v>
      </c>
      <c r="F304" s="108"/>
    </row>
    <row r="305" spans="2:7" x14ac:dyDescent="0.25">
      <c r="B305" s="89" t="s">
        <v>616</v>
      </c>
      <c r="C305" s="96"/>
      <c r="D305" s="97"/>
      <c r="E305" s="98">
        <v>16.47</v>
      </c>
      <c r="F305" s="108"/>
    </row>
    <row r="306" spans="2:7" x14ac:dyDescent="0.25">
      <c r="B306" s="89" t="s">
        <v>617</v>
      </c>
      <c r="C306" s="96"/>
      <c r="D306" s="97"/>
      <c r="E306" s="98">
        <v>18.22</v>
      </c>
      <c r="F306" s="108"/>
    </row>
    <row r="307" spans="2:7" x14ac:dyDescent="0.25">
      <c r="B307" s="89" t="s">
        <v>614</v>
      </c>
      <c r="C307" s="96"/>
      <c r="D307" s="97"/>
      <c r="E307" s="98">
        <v>24.24</v>
      </c>
      <c r="F307" s="108"/>
    </row>
    <row r="308" spans="2:7" x14ac:dyDescent="0.25">
      <c r="B308" s="89" t="s">
        <v>618</v>
      </c>
      <c r="C308" s="96"/>
      <c r="D308" s="97"/>
      <c r="E308" s="98">
        <v>30.36</v>
      </c>
      <c r="F308" s="108"/>
    </row>
    <row r="309" spans="2:7" x14ac:dyDescent="0.25">
      <c r="B309" s="103" t="s">
        <v>619</v>
      </c>
      <c r="C309" s="96"/>
      <c r="D309" s="97"/>
      <c r="E309" s="98">
        <v>30.36</v>
      </c>
      <c r="F309" s="108"/>
    </row>
    <row r="310" spans="2:7" x14ac:dyDescent="0.25">
      <c r="B310" s="104"/>
      <c r="C310" s="96"/>
      <c r="D310" s="97"/>
      <c r="E310" s="97"/>
      <c r="F310" s="97"/>
      <c r="G310" s="97"/>
    </row>
    <row r="311" spans="2:7" x14ac:dyDescent="0.25">
      <c r="B311" s="104" t="s">
        <v>624</v>
      </c>
      <c r="C311" s="96"/>
      <c r="D311" s="97"/>
      <c r="E311" s="97"/>
      <c r="F311" s="97"/>
      <c r="G311" s="97">
        <v>278.20999999999998</v>
      </c>
    </row>
    <row r="312" spans="2:7" x14ac:dyDescent="0.25">
      <c r="B312" s="104" t="s">
        <v>623</v>
      </c>
      <c r="C312" s="96"/>
      <c r="D312" s="97"/>
      <c r="E312" s="97"/>
      <c r="F312" s="97"/>
      <c r="G312" s="97">
        <v>312.45</v>
      </c>
    </row>
    <row r="313" spans="2:7" x14ac:dyDescent="0.25">
      <c r="B313" s="104"/>
      <c r="C313" s="96"/>
      <c r="D313" s="97"/>
      <c r="E313" s="97"/>
      <c r="F313" s="97"/>
      <c r="G313" s="97"/>
    </row>
    <row r="314" spans="2:7" x14ac:dyDescent="0.25">
      <c r="B314" s="104" t="s">
        <v>625</v>
      </c>
      <c r="C314" s="96"/>
      <c r="D314" s="97"/>
      <c r="E314" s="97"/>
      <c r="F314" s="97"/>
      <c r="G314" s="97">
        <v>386.75</v>
      </c>
    </row>
    <row r="315" spans="2:7" x14ac:dyDescent="0.25">
      <c r="B315" s="104" t="s">
        <v>626</v>
      </c>
      <c r="C315" s="96"/>
      <c r="D315" s="97"/>
      <c r="E315" s="97"/>
      <c r="F315" s="97"/>
      <c r="G315" s="97">
        <v>386.75</v>
      </c>
    </row>
    <row r="316" spans="2:7" x14ac:dyDescent="0.25">
      <c r="B316" s="104"/>
      <c r="C316" s="96"/>
      <c r="D316" s="97"/>
      <c r="E316" s="97"/>
      <c r="F316" s="97"/>
      <c r="G316" s="97"/>
    </row>
    <row r="317" spans="2:7" x14ac:dyDescent="0.25">
      <c r="B317" s="104" t="s">
        <v>636</v>
      </c>
      <c r="C317" s="96"/>
      <c r="D317" s="97"/>
      <c r="E317" s="97"/>
      <c r="F317" s="97"/>
      <c r="G317" s="97">
        <v>133.88999999999999</v>
      </c>
    </row>
    <row r="318" spans="2:7" x14ac:dyDescent="0.25">
      <c r="B318" s="104" t="s">
        <v>637</v>
      </c>
      <c r="C318" s="96"/>
      <c r="D318" s="97"/>
      <c r="E318" s="97"/>
      <c r="F318" s="97"/>
      <c r="G318" s="97">
        <v>133.88999999999999</v>
      </c>
    </row>
    <row r="319" spans="2:7" x14ac:dyDescent="0.25">
      <c r="B319" s="104"/>
      <c r="C319" s="96"/>
      <c r="D319" s="97"/>
      <c r="E319" s="97"/>
      <c r="F319" s="97"/>
      <c r="G319" s="97"/>
    </row>
    <row r="320" spans="2:7" x14ac:dyDescent="0.25">
      <c r="B320" s="104" t="s">
        <v>638</v>
      </c>
      <c r="C320" s="96"/>
      <c r="D320" s="97"/>
      <c r="E320" s="97"/>
      <c r="F320" s="97"/>
      <c r="G320" s="97">
        <v>487.71</v>
      </c>
    </row>
    <row r="321" spans="2:30" x14ac:dyDescent="0.25">
      <c r="B321" s="104" t="s">
        <v>639</v>
      </c>
      <c r="C321" s="96"/>
      <c r="D321" s="97"/>
      <c r="E321" s="97"/>
      <c r="F321" s="97"/>
      <c r="G321" s="97">
        <v>487.71</v>
      </c>
    </row>
    <row r="322" spans="2:30" x14ac:dyDescent="0.25">
      <c r="B322" s="104"/>
      <c r="C322" s="96"/>
      <c r="D322" s="97"/>
      <c r="E322" s="97"/>
      <c r="F322" s="97"/>
      <c r="G322" s="97"/>
    </row>
    <row r="323" spans="2:30" x14ac:dyDescent="0.25">
      <c r="B323" s="104" t="s">
        <v>640</v>
      </c>
      <c r="C323" s="96"/>
      <c r="D323" s="97"/>
      <c r="E323" s="97"/>
      <c r="F323" s="97"/>
      <c r="G323" s="97">
        <v>723.33</v>
      </c>
    </row>
    <row r="324" spans="2:30" x14ac:dyDescent="0.25">
      <c r="B324" s="104"/>
      <c r="C324" s="96"/>
      <c r="D324" s="97"/>
      <c r="E324" s="97"/>
      <c r="F324" s="97"/>
      <c r="G324" s="97"/>
    </row>
    <row r="325" spans="2:30" x14ac:dyDescent="0.25">
      <c r="B325" s="104" t="s">
        <v>628</v>
      </c>
      <c r="C325" s="96"/>
      <c r="D325" s="97"/>
      <c r="E325" s="97"/>
      <c r="F325" s="97"/>
      <c r="G325" s="97">
        <v>574.32000000000005</v>
      </c>
    </row>
    <row r="326" spans="2:30" x14ac:dyDescent="0.25">
      <c r="B326" s="104" t="s">
        <v>629</v>
      </c>
      <c r="C326" s="96"/>
      <c r="D326" s="97"/>
      <c r="E326" s="97"/>
      <c r="F326" s="97"/>
      <c r="G326" s="97">
        <v>508.94</v>
      </c>
    </row>
    <row r="327" spans="2:30" x14ac:dyDescent="0.25">
      <c r="B327" s="104"/>
      <c r="C327" s="96"/>
      <c r="D327" s="97"/>
      <c r="E327" s="97"/>
      <c r="F327" s="97"/>
      <c r="G327" s="97"/>
    </row>
    <row r="328" spans="2:30" x14ac:dyDescent="0.25">
      <c r="B328" s="104" t="s">
        <v>630</v>
      </c>
      <c r="C328" s="96"/>
      <c r="D328" s="97"/>
      <c r="E328" s="97"/>
      <c r="F328" s="97"/>
      <c r="G328" s="97">
        <v>194.54</v>
      </c>
    </row>
    <row r="329" spans="2:30" x14ac:dyDescent="0.25">
      <c r="B329" s="104" t="s">
        <v>631</v>
      </c>
      <c r="C329" s="96"/>
      <c r="D329" s="97"/>
      <c r="E329" s="97"/>
      <c r="F329" s="97"/>
      <c r="G329" s="97">
        <v>194.54</v>
      </c>
    </row>
    <row r="330" spans="2:30" x14ac:dyDescent="0.25">
      <c r="B330" s="104"/>
      <c r="C330" s="96"/>
      <c r="D330" s="97"/>
      <c r="E330" s="97"/>
      <c r="F330" s="97"/>
      <c r="G330" s="97"/>
    </row>
    <row r="331" spans="2:30" x14ac:dyDescent="0.25">
      <c r="B331" s="104" t="s">
        <v>632</v>
      </c>
      <c r="C331" s="96"/>
      <c r="D331" s="97"/>
      <c r="E331" s="97"/>
      <c r="F331" s="97"/>
      <c r="G331" s="97">
        <v>63.66</v>
      </c>
    </row>
    <row r="332" spans="2:30" x14ac:dyDescent="0.25">
      <c r="B332" s="104" t="s">
        <v>633</v>
      </c>
      <c r="C332" s="96"/>
      <c r="D332" s="97"/>
      <c r="E332" s="97"/>
      <c r="F332" s="97"/>
      <c r="G332" s="97">
        <v>81.239999999999995</v>
      </c>
    </row>
    <row r="333" spans="2:30" x14ac:dyDescent="0.25">
      <c r="B333" s="104" t="s">
        <v>634</v>
      </c>
      <c r="C333" s="96"/>
      <c r="D333" s="97"/>
      <c r="E333" s="97"/>
      <c r="F333" s="97"/>
      <c r="G333" s="97">
        <v>149.47999999999999</v>
      </c>
    </row>
    <row r="334" spans="2:30" x14ac:dyDescent="0.25">
      <c r="B334" s="104" t="s">
        <v>635</v>
      </c>
      <c r="C334" s="96"/>
      <c r="D334" s="97"/>
      <c r="E334" s="97"/>
      <c r="F334" s="97"/>
      <c r="G334" s="97">
        <v>119.09</v>
      </c>
    </row>
    <row r="335" spans="2:30" x14ac:dyDescent="0.25">
      <c r="B335" s="104"/>
      <c r="C335" s="96"/>
      <c r="D335" s="97"/>
      <c r="E335" s="97"/>
      <c r="F335" s="97"/>
      <c r="G335" s="97"/>
    </row>
    <row r="336" spans="2:30" x14ac:dyDescent="0.25">
      <c r="B336" s="104" t="s">
        <v>641</v>
      </c>
      <c r="C336" s="96"/>
      <c r="D336" s="97"/>
      <c r="E336" s="97"/>
      <c r="F336" s="97">
        <v>99.24</v>
      </c>
      <c r="G336" s="6" t="s">
        <v>642</v>
      </c>
      <c r="M336"/>
      <c r="Q336" s="2"/>
      <c r="R336"/>
      <c r="AA336" s="4"/>
      <c r="AB336"/>
      <c r="AC336" s="2"/>
      <c r="AD336"/>
    </row>
    <row r="337" spans="2:30" x14ac:dyDescent="0.25">
      <c r="B337" s="104" t="s">
        <v>643</v>
      </c>
      <c r="C337" s="96"/>
      <c r="D337" s="97"/>
      <c r="E337" s="97"/>
      <c r="F337" s="97">
        <v>104.24</v>
      </c>
      <c r="G337" s="6" t="s">
        <v>642</v>
      </c>
      <c r="M337"/>
      <c r="Q337" s="2"/>
      <c r="R337"/>
      <c r="AA337" s="4"/>
      <c r="AB337"/>
      <c r="AC337" s="2"/>
      <c r="AD337"/>
    </row>
    <row r="338" spans="2:30" x14ac:dyDescent="0.25">
      <c r="B338" s="104" t="s">
        <v>644</v>
      </c>
      <c r="C338" s="96" t="s">
        <v>645</v>
      </c>
      <c r="D338" s="97"/>
      <c r="E338" s="97"/>
      <c r="F338" s="97">
        <v>112</v>
      </c>
      <c r="G338" s="6" t="s">
        <v>642</v>
      </c>
      <c r="M338"/>
      <c r="Q338" s="2"/>
      <c r="R338"/>
      <c r="AA338" s="4"/>
      <c r="AB338"/>
      <c r="AC338" s="2"/>
      <c r="AD338"/>
    </row>
    <row r="339" spans="2:30" x14ac:dyDescent="0.25">
      <c r="C339" s="96"/>
      <c r="D339" s="97"/>
      <c r="E339" s="97"/>
      <c r="F339" s="97">
        <v>127.24</v>
      </c>
      <c r="G339" s="6" t="s">
        <v>642</v>
      </c>
      <c r="M339"/>
      <c r="Q339" s="2"/>
      <c r="R339"/>
      <c r="AA339" s="4"/>
      <c r="AB339"/>
      <c r="AC339" s="2"/>
      <c r="AD339"/>
    </row>
    <row r="340" spans="2:30" x14ac:dyDescent="0.25">
      <c r="B340" s="104" t="s">
        <v>646</v>
      </c>
      <c r="C340" s="96" t="s">
        <v>647</v>
      </c>
      <c r="D340" s="97"/>
      <c r="E340" s="97"/>
      <c r="F340" s="97"/>
      <c r="G340" s="6" t="s">
        <v>642</v>
      </c>
      <c r="M340"/>
      <c r="Q340" s="2"/>
      <c r="R340"/>
      <c r="AA340" s="4"/>
      <c r="AB340"/>
      <c r="AC340" s="2"/>
      <c r="AD340"/>
    </row>
    <row r="341" spans="2:30" x14ac:dyDescent="0.25">
      <c r="B341" s="104"/>
      <c r="C341" s="96"/>
      <c r="D341" s="97"/>
      <c r="E341" s="97"/>
      <c r="F341" s="97"/>
      <c r="M341"/>
      <c r="Q341" s="2"/>
      <c r="R341"/>
      <c r="AA341" s="4"/>
      <c r="AB341"/>
      <c r="AC341" s="2"/>
      <c r="AD341"/>
    </row>
    <row r="342" spans="2:30" x14ac:dyDescent="0.25">
      <c r="B342" s="2" t="s">
        <v>455</v>
      </c>
      <c r="C342" s="9">
        <v>68.37</v>
      </c>
      <c r="F342" s="6">
        <v>41.02</v>
      </c>
      <c r="H342" s="6">
        <f>PRODUCT(F342,H1)</f>
        <v>61.53</v>
      </c>
      <c r="M342"/>
      <c r="Q342" s="2"/>
      <c r="R342"/>
      <c r="AA342" s="4"/>
      <c r="AB342"/>
      <c r="AC342" s="2"/>
      <c r="AD342"/>
    </row>
    <row r="343" spans="2:30" x14ac:dyDescent="0.25">
      <c r="B343" s="2" t="s">
        <v>648</v>
      </c>
      <c r="C343" s="9">
        <v>68.37</v>
      </c>
      <c r="F343" s="6">
        <v>41.02</v>
      </c>
      <c r="H343" s="6">
        <f>PRODUCT(F343,H1)</f>
        <v>61.53</v>
      </c>
      <c r="M343"/>
      <c r="Q343" s="2"/>
      <c r="R343"/>
      <c r="AA343" s="4"/>
      <c r="AB343"/>
      <c r="AC343" s="2"/>
      <c r="AD343"/>
    </row>
    <row r="344" spans="2:30" x14ac:dyDescent="0.25">
      <c r="B344" s="2" t="s">
        <v>649</v>
      </c>
      <c r="C344" s="9">
        <v>68.37</v>
      </c>
      <c r="F344" s="6">
        <v>41.02</v>
      </c>
      <c r="H344" s="6">
        <f>PRODUCT(F344,H1)</f>
        <v>61.53</v>
      </c>
      <c r="M344"/>
      <c r="Q344" s="2"/>
      <c r="R344"/>
      <c r="AA344" s="4"/>
      <c r="AB344"/>
      <c r="AC344" s="2"/>
      <c r="AD344"/>
    </row>
    <row r="345" spans="2:30" x14ac:dyDescent="0.25">
      <c r="B345" s="2" t="s">
        <v>650</v>
      </c>
      <c r="C345" s="9">
        <v>62.54</v>
      </c>
      <c r="F345" s="6">
        <v>63.41</v>
      </c>
      <c r="H345" s="6">
        <f>PRODUCT(F345,H1)</f>
        <v>95.114999999999995</v>
      </c>
      <c r="M345"/>
      <c r="Q345" s="2"/>
      <c r="R345"/>
      <c r="AA345" s="4"/>
      <c r="AB345"/>
      <c r="AC345" s="2"/>
      <c r="AD345"/>
    </row>
    <row r="346" spans="2:30" x14ac:dyDescent="0.25">
      <c r="B346" s="2" t="s">
        <v>651</v>
      </c>
      <c r="C346" s="9">
        <v>62.54</v>
      </c>
      <c r="F346" s="6">
        <v>63.41</v>
      </c>
      <c r="H346" s="6">
        <f>PRODUCT(F346,H1)</f>
        <v>95.114999999999995</v>
      </c>
      <c r="M346"/>
      <c r="Q346" s="2"/>
      <c r="R346"/>
      <c r="AA346" s="4"/>
      <c r="AB346"/>
      <c r="AC346" s="2"/>
      <c r="AD346"/>
    </row>
    <row r="347" spans="2:30" x14ac:dyDescent="0.25">
      <c r="B347" s="2" t="s">
        <v>652</v>
      </c>
      <c r="C347" s="9">
        <v>68.37</v>
      </c>
      <c r="F347" s="6">
        <v>41.02</v>
      </c>
      <c r="H347" s="6">
        <f>PRODUCT(F347,H1)</f>
        <v>61.53</v>
      </c>
      <c r="M347"/>
      <c r="Q347" s="2"/>
      <c r="R347"/>
      <c r="AA347" s="4"/>
      <c r="AB347"/>
      <c r="AC347" s="2"/>
      <c r="AD347"/>
    </row>
    <row r="348" spans="2:30" x14ac:dyDescent="0.25">
      <c r="B348" s="2" t="s">
        <v>653</v>
      </c>
      <c r="C348" s="9">
        <v>68.37</v>
      </c>
      <c r="F348" s="6">
        <v>41.02</v>
      </c>
      <c r="H348" s="6">
        <f>PRODUCT(F348,H1)</f>
        <v>61.53</v>
      </c>
      <c r="M348"/>
      <c r="Q348" s="2"/>
      <c r="R348"/>
      <c r="AA348" s="4"/>
      <c r="AB348"/>
      <c r="AC348" s="2"/>
      <c r="AD348"/>
    </row>
    <row r="349" spans="2:30" x14ac:dyDescent="0.25">
      <c r="B349" s="2" t="s">
        <v>654</v>
      </c>
      <c r="C349" s="9">
        <v>256.83</v>
      </c>
      <c r="F349" s="6">
        <v>154.09</v>
      </c>
      <c r="H349" s="6">
        <f>PRODUCT(F349,H1)</f>
        <v>231.13499999999999</v>
      </c>
      <c r="M349"/>
      <c r="Q349" s="2"/>
      <c r="R349"/>
      <c r="AA349" s="4"/>
      <c r="AB349"/>
      <c r="AC349" s="2"/>
      <c r="AD349"/>
    </row>
    <row r="350" spans="2:30" x14ac:dyDescent="0.25">
      <c r="B350" s="2" t="s">
        <v>655</v>
      </c>
      <c r="C350" s="9">
        <v>62.54</v>
      </c>
      <c r="F350" s="6">
        <v>63.41</v>
      </c>
      <c r="H350" s="6">
        <f>PRODUCT(F350,H1)</f>
        <v>95.114999999999995</v>
      </c>
      <c r="M350"/>
      <c r="Q350" s="2"/>
      <c r="R350"/>
      <c r="AA350" s="4"/>
      <c r="AB350"/>
      <c r="AC350" s="2"/>
      <c r="AD350"/>
    </row>
    <row r="351" spans="2:30" x14ac:dyDescent="0.25">
      <c r="B351" s="2" t="s">
        <v>656</v>
      </c>
      <c r="C351" s="9">
        <v>62.54</v>
      </c>
      <c r="F351" s="6">
        <v>37.520000000000003</v>
      </c>
      <c r="H351" s="6">
        <f>PRODUCT(F351,H11)</f>
        <v>3772.1557440000001</v>
      </c>
      <c r="M351"/>
      <c r="Q351" s="2"/>
      <c r="R351"/>
      <c r="AA351" s="4"/>
      <c r="AB351"/>
      <c r="AC351" s="2"/>
      <c r="AD351"/>
    </row>
    <row r="352" spans="2:30" x14ac:dyDescent="0.25">
      <c r="B352" s="2" t="s">
        <v>657</v>
      </c>
      <c r="C352" s="9">
        <v>80.290000000000006</v>
      </c>
      <c r="F352" s="6">
        <v>48.17</v>
      </c>
      <c r="H352" s="6">
        <f>PRODUCT(F352,H1)</f>
        <v>72.254999999999995</v>
      </c>
      <c r="M352"/>
      <c r="Q352" s="2"/>
      <c r="R352"/>
      <c r="AA352" s="4"/>
      <c r="AB352"/>
      <c r="AC352" s="2"/>
      <c r="AD352"/>
    </row>
    <row r="353" spans="2:30" x14ac:dyDescent="0.25">
      <c r="B353" s="2" t="s">
        <v>658</v>
      </c>
      <c r="C353" s="9">
        <v>181.69</v>
      </c>
      <c r="F353" s="6">
        <v>109.01</v>
      </c>
      <c r="H353" s="6">
        <f>PRODUCT(F353,H1)</f>
        <v>163.51500000000001</v>
      </c>
      <c r="M353"/>
      <c r="Q353" s="2"/>
      <c r="R353"/>
      <c r="AA353" s="4"/>
      <c r="AB353"/>
      <c r="AC353" s="2"/>
      <c r="AD353"/>
    </row>
    <row r="354" spans="2:30" x14ac:dyDescent="0.25">
      <c r="B354" s="2" t="s">
        <v>659</v>
      </c>
      <c r="C354" s="9">
        <v>256.83</v>
      </c>
      <c r="F354" s="6">
        <v>154.09</v>
      </c>
      <c r="H354" s="6">
        <f>PRODUCT(F354,H1)</f>
        <v>231.13499999999999</v>
      </c>
      <c r="M354"/>
      <c r="Q354" s="2"/>
      <c r="R354"/>
      <c r="AA354" s="4"/>
      <c r="AB354"/>
      <c r="AC354" s="2"/>
      <c r="AD354"/>
    </row>
    <row r="355" spans="2:30" x14ac:dyDescent="0.25">
      <c r="M355"/>
      <c r="Q355" s="2"/>
      <c r="R355"/>
      <c r="AA355" s="4"/>
      <c r="AB355"/>
      <c r="AC355" s="2"/>
      <c r="AD355"/>
    </row>
    <row r="356" spans="2:30" x14ac:dyDescent="0.25">
      <c r="B356" t="s">
        <v>660</v>
      </c>
      <c r="M356"/>
      <c r="Q356" s="2"/>
      <c r="R356"/>
      <c r="AA356" s="4"/>
      <c r="AB356"/>
      <c r="AC356" s="2"/>
      <c r="AD356"/>
    </row>
    <row r="357" spans="2:30" x14ac:dyDescent="0.25">
      <c r="B357" t="s">
        <v>661</v>
      </c>
      <c r="C357" s="9">
        <v>8.7799999999999994</v>
      </c>
      <c r="D357" s="6">
        <v>8.7899999999999991</v>
      </c>
      <c r="M357"/>
      <c r="Q357" s="2"/>
      <c r="R357"/>
      <c r="AA357" s="4"/>
      <c r="AB357"/>
      <c r="AC357" s="2"/>
      <c r="AD357"/>
    </row>
    <row r="358" spans="2:30" x14ac:dyDescent="0.25">
      <c r="B358" t="s">
        <v>662</v>
      </c>
      <c r="D358" s="6">
        <v>83</v>
      </c>
    </row>
    <row r="359" spans="2:30" x14ac:dyDescent="0.25">
      <c r="B359" t="s">
        <v>663</v>
      </c>
      <c r="D359" s="6">
        <v>96.02</v>
      </c>
    </row>
    <row r="360" spans="2:30" x14ac:dyDescent="0.25">
      <c r="B360" t="s">
        <v>664</v>
      </c>
      <c r="D360" s="6">
        <v>95.66</v>
      </c>
    </row>
    <row r="361" spans="2:30" x14ac:dyDescent="0.25">
      <c r="B361" t="s">
        <v>665</v>
      </c>
      <c r="D361" s="6">
        <v>85.58</v>
      </c>
    </row>
    <row r="362" spans="2:30" x14ac:dyDescent="0.25">
      <c r="B362" t="s">
        <v>666</v>
      </c>
      <c r="D362" s="6">
        <v>38.86</v>
      </c>
    </row>
  </sheetData>
  <mergeCells count="1">
    <mergeCell ref="C2:D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67"/>
  <sheetViews>
    <sheetView tabSelected="1" zoomScale="80" zoomScaleNormal="80" workbookViewId="0">
      <pane ySplit="4" topLeftCell="A5" activePane="bottomLeft" state="frozen"/>
      <selection pane="bottomLeft" activeCell="E1" sqref="E1:E1048576"/>
    </sheetView>
  </sheetViews>
  <sheetFormatPr defaultRowHeight="15" x14ac:dyDescent="0.25"/>
  <cols>
    <col min="1" max="1" width="11.42578125" bestFit="1" customWidth="1"/>
    <col min="2" max="2" width="62.85546875" bestFit="1" customWidth="1"/>
    <col min="3" max="3" width="12.28515625" style="6" hidden="1" customWidth="1"/>
    <col min="4" max="4" width="12.28515625" style="6" bestFit="1" customWidth="1"/>
    <col min="5" max="5" width="15.5703125" style="55" hidden="1" customWidth="1"/>
    <col min="6" max="6" width="15.5703125" style="55" customWidth="1"/>
    <col min="7" max="7" width="14.85546875" style="11" customWidth="1"/>
    <col min="8" max="8" width="13.5703125" style="59" customWidth="1"/>
    <col min="9" max="9" width="11.42578125" style="6" customWidth="1"/>
    <col min="10" max="10" width="11.42578125" style="59" customWidth="1"/>
    <col min="11" max="11" width="11.42578125" style="6" customWidth="1"/>
    <col min="12" max="12" width="9.7109375" style="59" customWidth="1"/>
    <col min="13" max="13" width="9.7109375" style="6" customWidth="1"/>
    <col min="17" max="17" width="15.28515625" bestFit="1" customWidth="1"/>
    <col min="18" max="18" width="13.28515625" bestFit="1" customWidth="1"/>
  </cols>
  <sheetData>
    <row r="2" spans="1:27" x14ac:dyDescent="0.25">
      <c r="C2" s="8"/>
      <c r="D2" s="8">
        <v>2.67</v>
      </c>
      <c r="E2" s="48"/>
      <c r="F2" s="48">
        <v>1.07</v>
      </c>
      <c r="G2" s="10"/>
      <c r="H2" s="9">
        <v>1.5</v>
      </c>
      <c r="I2" s="8"/>
      <c r="J2" s="9">
        <v>1.88</v>
      </c>
      <c r="K2" s="8"/>
      <c r="L2" s="9"/>
      <c r="M2" s="8"/>
      <c r="N2" s="8"/>
    </row>
    <row r="3" spans="1:27" ht="15.75" thickBot="1" x14ac:dyDescent="0.3">
      <c r="C3" s="110" t="s">
        <v>564</v>
      </c>
      <c r="D3" s="111"/>
      <c r="E3" s="48"/>
      <c r="F3" s="48"/>
      <c r="G3" s="10"/>
      <c r="H3" s="9"/>
      <c r="I3" s="8"/>
      <c r="J3" s="9"/>
      <c r="K3" s="8"/>
      <c r="L3" s="9"/>
      <c r="M3" s="8"/>
      <c r="N3" s="8"/>
    </row>
    <row r="4" spans="1:27" s="69" customFormat="1" ht="45.2" customHeight="1" thickBot="1" x14ac:dyDescent="0.3">
      <c r="A4" s="61" t="s">
        <v>59</v>
      </c>
      <c r="B4" s="68"/>
      <c r="C4" s="62" t="s">
        <v>562</v>
      </c>
      <c r="D4" s="63" t="s">
        <v>563</v>
      </c>
      <c r="E4" s="64" t="s">
        <v>582</v>
      </c>
      <c r="F4" s="64" t="s">
        <v>582</v>
      </c>
      <c r="G4" s="64" t="s">
        <v>580</v>
      </c>
      <c r="H4" s="65" t="s">
        <v>577</v>
      </c>
      <c r="I4" s="65" t="s">
        <v>580</v>
      </c>
      <c r="J4" s="66" t="s">
        <v>578</v>
      </c>
      <c r="K4" s="66" t="s">
        <v>580</v>
      </c>
      <c r="L4" s="67" t="s">
        <v>579</v>
      </c>
      <c r="M4" s="67" t="s">
        <v>580</v>
      </c>
      <c r="N4" s="61" t="s">
        <v>417</v>
      </c>
      <c r="O4" s="61" t="s">
        <v>418</v>
      </c>
      <c r="P4" s="61" t="s">
        <v>419</v>
      </c>
      <c r="Q4" s="68" t="s">
        <v>407</v>
      </c>
      <c r="R4" s="68" t="s">
        <v>407</v>
      </c>
      <c r="S4" s="68" t="s">
        <v>411</v>
      </c>
      <c r="T4" s="68" t="s">
        <v>412</v>
      </c>
      <c r="U4" s="68" t="s">
        <v>413</v>
      </c>
      <c r="V4" s="68" t="s">
        <v>414</v>
      </c>
      <c r="W4" s="68" t="s">
        <v>415</v>
      </c>
      <c r="X4" s="68" t="s">
        <v>416</v>
      </c>
      <c r="Y4" s="68" t="s">
        <v>420</v>
      </c>
      <c r="Z4" s="68" t="s">
        <v>421</v>
      </c>
      <c r="AA4" s="68" t="s">
        <v>422</v>
      </c>
    </row>
    <row r="5" spans="1:27" x14ac:dyDescent="0.25">
      <c r="A5" s="39" t="s">
        <v>332</v>
      </c>
      <c r="B5" s="39" t="s">
        <v>333</v>
      </c>
      <c r="C5" s="41">
        <v>85.8</v>
      </c>
      <c r="D5" s="42">
        <f>PRODUCT(C5,$D$2)</f>
        <v>229.08599999999998</v>
      </c>
      <c r="E5" s="49">
        <v>85.03</v>
      </c>
      <c r="F5" s="42">
        <f>PRODUCT(E5,$F$2)</f>
        <v>90.982100000000003</v>
      </c>
      <c r="G5" s="43">
        <f>SUM(D5,F5)</f>
        <v>320.06809999999996</v>
      </c>
      <c r="H5" s="56">
        <f>PRODUCT(F5,$H$2)</f>
        <v>136.47315</v>
      </c>
      <c r="I5" s="44">
        <f>SUM(D5,H5)</f>
        <v>365.55914999999999</v>
      </c>
      <c r="J5" s="56">
        <f>PRODUCT(F5,$J$2)</f>
        <v>171.04634799999999</v>
      </c>
      <c r="K5" s="45">
        <f>SUM(D5,J5)</f>
        <v>400.13234799999998</v>
      </c>
      <c r="L5" s="56">
        <v>453.44</v>
      </c>
      <c r="M5" s="46">
        <f>SUM(D5,L5)</f>
        <v>682.52599999999995</v>
      </c>
      <c r="N5" s="47">
        <v>400</v>
      </c>
      <c r="O5" s="47">
        <v>2160</v>
      </c>
      <c r="P5" s="47">
        <v>570</v>
      </c>
      <c r="Q5" s="39" t="s">
        <v>458</v>
      </c>
      <c r="R5" s="39" t="s">
        <v>459</v>
      </c>
      <c r="S5" s="39">
        <v>1</v>
      </c>
      <c r="T5" s="39">
        <v>2155</v>
      </c>
      <c r="U5" s="39">
        <v>395</v>
      </c>
      <c r="V5" s="39"/>
      <c r="W5" s="39"/>
      <c r="X5" s="39"/>
      <c r="Y5" s="39"/>
      <c r="Z5" s="39"/>
      <c r="AA5" s="39"/>
    </row>
    <row r="6" spans="1:27" x14ac:dyDescent="0.25">
      <c r="A6" s="14" t="s">
        <v>334</v>
      </c>
      <c r="B6" s="14" t="s">
        <v>335</v>
      </c>
      <c r="C6" s="16">
        <v>86.9</v>
      </c>
      <c r="D6" s="42">
        <f t="shared" ref="D6:D15" si="0">PRODUCT(C6,$D$2)</f>
        <v>232.023</v>
      </c>
      <c r="E6" s="50">
        <v>101.96</v>
      </c>
      <c r="F6" s="42">
        <f t="shared" ref="F6:F57" si="1">PRODUCT(E6,$F$2)</f>
        <v>109.0972</v>
      </c>
      <c r="G6" s="43">
        <f t="shared" ref="G6:G10" si="2">SUM(D6,F6)</f>
        <v>341.12020000000001</v>
      </c>
      <c r="H6" s="56">
        <f t="shared" ref="H6:H10" si="3">PRODUCT(F6,$H$2)</f>
        <v>163.64580000000001</v>
      </c>
      <c r="I6" s="19">
        <f t="shared" ref="I6:I54" si="4">SUM(D6,H6)</f>
        <v>395.66880000000003</v>
      </c>
      <c r="J6" s="56">
        <f t="shared" ref="J6:J10" si="5">PRODUCT(F6,$J$2)</f>
        <v>205.10273599999999</v>
      </c>
      <c r="K6" s="20">
        <f t="shared" ref="K6:K10" si="6">SUM(D6,J6)</f>
        <v>437.12573599999996</v>
      </c>
      <c r="L6" s="51">
        <v>453.44</v>
      </c>
      <c r="M6" s="21">
        <f t="shared" ref="M6:M10" si="7">SUM(D6,L6)</f>
        <v>685.46299999999997</v>
      </c>
      <c r="N6" s="22">
        <v>500</v>
      </c>
      <c r="O6" s="22">
        <v>2160</v>
      </c>
      <c r="P6" s="22">
        <v>570</v>
      </c>
      <c r="Q6" s="14" t="s">
        <v>458</v>
      </c>
      <c r="R6" s="14" t="s">
        <v>459</v>
      </c>
      <c r="S6" s="14">
        <v>1</v>
      </c>
      <c r="T6" s="14">
        <v>2155</v>
      </c>
      <c r="U6" s="14">
        <v>495</v>
      </c>
      <c r="V6" s="14"/>
      <c r="W6" s="14"/>
      <c r="X6" s="14"/>
      <c r="Y6" s="14"/>
      <c r="Z6" s="14"/>
      <c r="AA6" s="14"/>
    </row>
    <row r="7" spans="1:27" x14ac:dyDescent="0.25">
      <c r="A7" s="14" t="s">
        <v>336</v>
      </c>
      <c r="B7" s="14" t="s">
        <v>337</v>
      </c>
      <c r="C7" s="16">
        <v>88</v>
      </c>
      <c r="D7" s="42">
        <f t="shared" si="0"/>
        <v>234.95999999999998</v>
      </c>
      <c r="E7" s="50">
        <v>117.58</v>
      </c>
      <c r="F7" s="42">
        <f t="shared" si="1"/>
        <v>125.81060000000001</v>
      </c>
      <c r="G7" s="43">
        <f t="shared" si="2"/>
        <v>360.7706</v>
      </c>
      <c r="H7" s="56">
        <f t="shared" si="3"/>
        <v>188.7159</v>
      </c>
      <c r="I7" s="19">
        <f t="shared" si="4"/>
        <v>423.67589999999996</v>
      </c>
      <c r="J7" s="56">
        <f t="shared" si="5"/>
        <v>236.52392800000001</v>
      </c>
      <c r="K7" s="20">
        <f t="shared" si="6"/>
        <v>471.48392799999999</v>
      </c>
      <c r="L7" s="51">
        <v>453.44</v>
      </c>
      <c r="M7" s="21">
        <f t="shared" si="7"/>
        <v>688.4</v>
      </c>
      <c r="N7" s="22">
        <v>600</v>
      </c>
      <c r="O7" s="22">
        <v>2160</v>
      </c>
      <c r="P7" s="22">
        <v>570</v>
      </c>
      <c r="Q7" s="14" t="s">
        <v>458</v>
      </c>
      <c r="R7" s="14" t="s">
        <v>459</v>
      </c>
      <c r="S7" s="14">
        <v>1</v>
      </c>
      <c r="T7" s="14">
        <v>2155</v>
      </c>
      <c r="U7" s="14">
        <v>595</v>
      </c>
      <c r="V7" s="14"/>
      <c r="W7" s="14"/>
      <c r="X7" s="14"/>
      <c r="Y7" s="14"/>
      <c r="Z7" s="14"/>
      <c r="AA7" s="14"/>
    </row>
    <row r="8" spans="1:27" x14ac:dyDescent="0.25">
      <c r="A8" s="14" t="s">
        <v>338</v>
      </c>
      <c r="B8" s="14" t="s">
        <v>339</v>
      </c>
      <c r="C8" s="16">
        <v>92.1</v>
      </c>
      <c r="D8" s="42">
        <f t="shared" si="0"/>
        <v>245.90699999999998</v>
      </c>
      <c r="E8" s="50">
        <v>170.06</v>
      </c>
      <c r="F8" s="42">
        <f t="shared" si="1"/>
        <v>181.96420000000001</v>
      </c>
      <c r="G8" s="43">
        <f t="shared" si="2"/>
        <v>427.87119999999999</v>
      </c>
      <c r="H8" s="56">
        <f t="shared" si="3"/>
        <v>272.94630000000001</v>
      </c>
      <c r="I8" s="19">
        <f t="shared" si="4"/>
        <v>518.85329999999999</v>
      </c>
      <c r="J8" s="56">
        <f t="shared" si="5"/>
        <v>342.09269599999999</v>
      </c>
      <c r="K8" s="20">
        <f t="shared" si="6"/>
        <v>587.99969599999997</v>
      </c>
      <c r="L8" s="51">
        <v>906.88</v>
      </c>
      <c r="M8" s="21">
        <f t="shared" si="7"/>
        <v>1152.787</v>
      </c>
      <c r="N8" s="22">
        <v>800</v>
      </c>
      <c r="O8" s="22">
        <v>2160</v>
      </c>
      <c r="P8" s="22">
        <v>570</v>
      </c>
      <c r="Q8" s="14" t="s">
        <v>458</v>
      </c>
      <c r="R8" s="14" t="s">
        <v>459</v>
      </c>
      <c r="S8" s="14">
        <v>2</v>
      </c>
      <c r="T8" s="14">
        <v>2155</v>
      </c>
      <c r="U8" s="14">
        <v>395</v>
      </c>
      <c r="V8" s="14"/>
      <c r="W8" s="14"/>
      <c r="X8" s="14"/>
      <c r="Y8" s="14"/>
      <c r="Z8" s="14"/>
      <c r="AA8" s="14"/>
    </row>
    <row r="9" spans="1:27" x14ac:dyDescent="0.25">
      <c r="A9" s="14" t="s">
        <v>340</v>
      </c>
      <c r="B9" s="14" t="s">
        <v>341</v>
      </c>
      <c r="C9" s="16">
        <v>94.2</v>
      </c>
      <c r="D9" s="42">
        <f t="shared" si="0"/>
        <v>251.51400000000001</v>
      </c>
      <c r="E9" s="50">
        <v>203.92</v>
      </c>
      <c r="F9" s="42">
        <f t="shared" si="1"/>
        <v>218.1944</v>
      </c>
      <c r="G9" s="43">
        <f t="shared" si="2"/>
        <v>469.70839999999998</v>
      </c>
      <c r="H9" s="56">
        <f t="shared" si="3"/>
        <v>327.29160000000002</v>
      </c>
      <c r="I9" s="19">
        <f t="shared" si="4"/>
        <v>578.80560000000003</v>
      </c>
      <c r="J9" s="56">
        <f t="shared" si="5"/>
        <v>410.20547199999999</v>
      </c>
      <c r="K9" s="20">
        <f t="shared" si="6"/>
        <v>661.719472</v>
      </c>
      <c r="L9" s="51">
        <v>906.88</v>
      </c>
      <c r="M9" s="21">
        <f t="shared" si="7"/>
        <v>1158.394</v>
      </c>
      <c r="N9" s="22">
        <v>1000</v>
      </c>
      <c r="O9" s="22">
        <v>2160</v>
      </c>
      <c r="P9" s="22">
        <v>570</v>
      </c>
      <c r="Q9" s="14" t="s">
        <v>458</v>
      </c>
      <c r="R9" s="14" t="s">
        <v>459</v>
      </c>
      <c r="S9" s="14">
        <v>2</v>
      </c>
      <c r="T9" s="14">
        <v>2155</v>
      </c>
      <c r="U9" s="14">
        <v>495</v>
      </c>
      <c r="V9" s="14"/>
      <c r="W9" s="14"/>
      <c r="X9" s="14"/>
      <c r="Y9" s="14"/>
      <c r="Z9" s="14"/>
      <c r="AA9" s="14"/>
    </row>
    <row r="10" spans="1:27" x14ac:dyDescent="0.25">
      <c r="A10" s="14" t="s">
        <v>342</v>
      </c>
      <c r="B10" s="14" t="s">
        <v>343</v>
      </c>
      <c r="C10" s="23">
        <v>96.3</v>
      </c>
      <c r="D10" s="42">
        <f t="shared" si="0"/>
        <v>257.12099999999998</v>
      </c>
      <c r="E10" s="50">
        <v>235.16</v>
      </c>
      <c r="F10" s="42">
        <f t="shared" si="1"/>
        <v>251.62120000000002</v>
      </c>
      <c r="G10" s="43">
        <f t="shared" si="2"/>
        <v>508.74220000000003</v>
      </c>
      <c r="H10" s="56">
        <f t="shared" si="3"/>
        <v>377.43180000000001</v>
      </c>
      <c r="I10" s="19">
        <f t="shared" si="4"/>
        <v>634.55279999999993</v>
      </c>
      <c r="J10" s="56">
        <f t="shared" si="5"/>
        <v>473.04785600000002</v>
      </c>
      <c r="K10" s="20">
        <f t="shared" si="6"/>
        <v>730.16885600000001</v>
      </c>
      <c r="L10" s="50">
        <v>906.88</v>
      </c>
      <c r="M10" s="24">
        <f t="shared" si="7"/>
        <v>1164.001</v>
      </c>
      <c r="N10" s="22">
        <v>1200</v>
      </c>
      <c r="O10" s="22">
        <v>2160</v>
      </c>
      <c r="P10" s="22">
        <v>570</v>
      </c>
      <c r="Q10" s="14" t="s">
        <v>458</v>
      </c>
      <c r="R10" s="14" t="s">
        <v>459</v>
      </c>
      <c r="S10" s="14">
        <v>2</v>
      </c>
      <c r="T10" s="14">
        <v>2155</v>
      </c>
      <c r="U10" s="14">
        <v>595</v>
      </c>
      <c r="V10" s="14"/>
      <c r="W10" s="14"/>
      <c r="X10" s="14"/>
      <c r="Y10" s="14"/>
      <c r="Z10" s="14"/>
      <c r="AA10" s="14"/>
    </row>
    <row r="11" spans="1:27" x14ac:dyDescent="0.25">
      <c r="A11" s="14" t="s">
        <v>344</v>
      </c>
      <c r="B11" s="14" t="s">
        <v>345</v>
      </c>
      <c r="C11" s="16">
        <v>112</v>
      </c>
      <c r="D11" s="42">
        <f t="shared" si="0"/>
        <v>299.03999999999996</v>
      </c>
      <c r="E11" s="50">
        <v>85.03</v>
      </c>
      <c r="F11" s="42">
        <f t="shared" si="1"/>
        <v>90.982100000000003</v>
      </c>
      <c r="G11" s="18">
        <f t="shared" ref="G11:G14" si="8">SUM(D11:E11)</f>
        <v>384.06999999999994</v>
      </c>
      <c r="H11" s="51">
        <f t="shared" ref="H11:H14" si="9">PRODUCT(E11,$H$2)</f>
        <v>127.545</v>
      </c>
      <c r="I11" s="19">
        <f t="shared" si="4"/>
        <v>426.58499999999998</v>
      </c>
      <c r="J11" s="51">
        <f t="shared" ref="J11:J14" si="10">PRODUCT(E11,$J$2)</f>
        <v>159.85639999999998</v>
      </c>
      <c r="K11" s="20">
        <f t="shared" ref="K11:K14" si="11">SUM(D11,J11)</f>
        <v>458.89639999999997</v>
      </c>
      <c r="L11" s="51">
        <v>453.44</v>
      </c>
      <c r="M11" s="21">
        <f t="shared" ref="M11:M14" si="12">SUM(D11,L11)</f>
        <v>752.48</v>
      </c>
      <c r="N11" s="22">
        <v>800</v>
      </c>
      <c r="O11" s="22">
        <v>2160</v>
      </c>
      <c r="P11" s="22">
        <v>570</v>
      </c>
      <c r="Q11" s="14" t="s">
        <v>458</v>
      </c>
      <c r="R11" s="14" t="s">
        <v>424</v>
      </c>
      <c r="S11" s="14">
        <v>2</v>
      </c>
      <c r="T11" s="14">
        <v>2155</v>
      </c>
      <c r="U11" s="14">
        <v>395</v>
      </c>
      <c r="V11" s="14"/>
      <c r="W11" s="14"/>
      <c r="X11" s="14"/>
      <c r="Y11" s="14"/>
      <c r="Z11" s="14"/>
      <c r="AA11" s="14"/>
    </row>
    <row r="12" spans="1:27" x14ac:dyDescent="0.25">
      <c r="A12" s="14" t="s">
        <v>346</v>
      </c>
      <c r="B12" s="14" t="s">
        <v>347</v>
      </c>
      <c r="C12" s="16">
        <v>114</v>
      </c>
      <c r="D12" s="42">
        <f t="shared" si="0"/>
        <v>304.38</v>
      </c>
      <c r="E12" s="50">
        <v>93.24</v>
      </c>
      <c r="F12" s="42">
        <f t="shared" si="1"/>
        <v>99.766800000000003</v>
      </c>
      <c r="G12" s="18">
        <f t="shared" si="8"/>
        <v>397.62</v>
      </c>
      <c r="H12" s="51">
        <f t="shared" si="9"/>
        <v>139.85999999999999</v>
      </c>
      <c r="I12" s="19">
        <f t="shared" si="4"/>
        <v>444.24</v>
      </c>
      <c r="J12" s="51">
        <f t="shared" si="10"/>
        <v>175.29119999999998</v>
      </c>
      <c r="K12" s="20">
        <f t="shared" si="11"/>
        <v>479.6712</v>
      </c>
      <c r="L12" s="51">
        <v>453.44</v>
      </c>
      <c r="M12" s="21">
        <f t="shared" si="12"/>
        <v>757.81999999999994</v>
      </c>
      <c r="N12" s="22">
        <v>900</v>
      </c>
      <c r="O12" s="22">
        <v>2160</v>
      </c>
      <c r="P12" s="22">
        <v>570</v>
      </c>
      <c r="Q12" s="14" t="s">
        <v>458</v>
      </c>
      <c r="R12" s="14" t="s">
        <v>424</v>
      </c>
      <c r="S12" s="14">
        <v>2</v>
      </c>
      <c r="T12" s="14">
        <v>2155</v>
      </c>
      <c r="U12" s="14">
        <v>445</v>
      </c>
      <c r="V12" s="14"/>
      <c r="W12" s="14"/>
      <c r="X12" s="14"/>
      <c r="Y12" s="14"/>
      <c r="Z12" s="14"/>
      <c r="AA12" s="14"/>
    </row>
    <row r="13" spans="1:27" x14ac:dyDescent="0.25">
      <c r="A13" s="14" t="s">
        <v>348</v>
      </c>
      <c r="B13" s="14" t="s">
        <v>349</v>
      </c>
      <c r="C13" s="16">
        <v>116</v>
      </c>
      <c r="D13" s="42">
        <f t="shared" si="0"/>
        <v>309.71999999999997</v>
      </c>
      <c r="E13" s="50">
        <v>101.96</v>
      </c>
      <c r="F13" s="42">
        <f t="shared" si="1"/>
        <v>109.0972</v>
      </c>
      <c r="G13" s="18">
        <f t="shared" si="8"/>
        <v>411.67999999999995</v>
      </c>
      <c r="H13" s="51">
        <f t="shared" si="9"/>
        <v>152.94</v>
      </c>
      <c r="I13" s="19">
        <f t="shared" si="4"/>
        <v>462.65999999999997</v>
      </c>
      <c r="J13" s="51">
        <f t="shared" si="10"/>
        <v>191.68479999999997</v>
      </c>
      <c r="K13" s="20">
        <f t="shared" si="11"/>
        <v>501.40479999999991</v>
      </c>
      <c r="L13" s="51">
        <v>906.88</v>
      </c>
      <c r="M13" s="21">
        <f t="shared" si="12"/>
        <v>1216.5999999999999</v>
      </c>
      <c r="N13" s="22">
        <v>1000</v>
      </c>
      <c r="O13" s="22">
        <v>2160</v>
      </c>
      <c r="P13" s="22">
        <v>570</v>
      </c>
      <c r="Q13" s="14" t="s">
        <v>458</v>
      </c>
      <c r="R13" s="14" t="s">
        <v>424</v>
      </c>
      <c r="S13" s="14">
        <v>2</v>
      </c>
      <c r="T13" s="14">
        <v>2155</v>
      </c>
      <c r="U13" s="14">
        <v>495</v>
      </c>
      <c r="V13" s="14"/>
      <c r="W13" s="14"/>
      <c r="X13" s="14"/>
      <c r="Y13" s="14"/>
      <c r="Z13" s="14"/>
      <c r="AA13" s="14"/>
    </row>
    <row r="14" spans="1:27" x14ac:dyDescent="0.25">
      <c r="A14" s="14" t="s">
        <v>350</v>
      </c>
      <c r="B14" s="14" t="s">
        <v>351</v>
      </c>
      <c r="C14" s="16">
        <v>118</v>
      </c>
      <c r="D14" s="42">
        <f t="shared" si="0"/>
        <v>315.06</v>
      </c>
      <c r="E14" s="50">
        <v>117.58</v>
      </c>
      <c r="F14" s="42">
        <f t="shared" si="1"/>
        <v>125.81060000000001</v>
      </c>
      <c r="G14" s="18">
        <f t="shared" si="8"/>
        <v>432.64</v>
      </c>
      <c r="H14" s="51">
        <f t="shared" si="9"/>
        <v>176.37</v>
      </c>
      <c r="I14" s="19">
        <f t="shared" si="4"/>
        <v>491.43</v>
      </c>
      <c r="J14" s="51">
        <f t="shared" si="10"/>
        <v>221.0504</v>
      </c>
      <c r="K14" s="20">
        <f t="shared" si="11"/>
        <v>536.11040000000003</v>
      </c>
      <c r="L14" s="51">
        <v>906.88</v>
      </c>
      <c r="M14" s="21">
        <f t="shared" si="12"/>
        <v>1221.94</v>
      </c>
      <c r="N14" s="22">
        <v>1200</v>
      </c>
      <c r="O14" s="22">
        <v>2160</v>
      </c>
      <c r="P14" s="22">
        <v>570</v>
      </c>
      <c r="Q14" s="14" t="s">
        <v>458</v>
      </c>
      <c r="R14" s="14" t="s">
        <v>424</v>
      </c>
      <c r="S14" s="14">
        <v>2</v>
      </c>
      <c r="T14" s="14">
        <v>2155</v>
      </c>
      <c r="U14" s="14">
        <v>595</v>
      </c>
      <c r="V14" s="14"/>
      <c r="W14" s="14"/>
      <c r="X14" s="14"/>
      <c r="Y14" s="14"/>
      <c r="Z14" s="14"/>
      <c r="AA14" s="14"/>
    </row>
    <row r="15" spans="1:27" x14ac:dyDescent="0.25">
      <c r="A15" s="14" t="s">
        <v>352</v>
      </c>
      <c r="B15" s="14" t="s">
        <v>353</v>
      </c>
      <c r="C15" s="16">
        <v>148</v>
      </c>
      <c r="D15" s="42">
        <f t="shared" si="0"/>
        <v>395.15999999999997</v>
      </c>
      <c r="E15" s="50">
        <v>101.96</v>
      </c>
      <c r="F15" s="42">
        <f t="shared" si="1"/>
        <v>109.0972</v>
      </c>
      <c r="G15" s="18">
        <f t="shared" ref="G15" si="13">SUM(D15:E15)</f>
        <v>497.11999999999995</v>
      </c>
      <c r="H15" s="51">
        <f>PRODUCT(E15,$H$2)</f>
        <v>152.94</v>
      </c>
      <c r="I15" s="19">
        <f t="shared" si="4"/>
        <v>548.09999999999991</v>
      </c>
      <c r="J15" s="51">
        <f t="shared" ref="J15" si="14">PRODUCT(E15,$J$2)</f>
        <v>191.68479999999997</v>
      </c>
      <c r="K15" s="20">
        <f t="shared" ref="K15" si="15">SUM(D15,J15)</f>
        <v>586.84479999999996</v>
      </c>
      <c r="L15" s="51">
        <v>906.88</v>
      </c>
      <c r="M15" s="21">
        <f>SUM(D15,L15)</f>
        <v>1302.04</v>
      </c>
      <c r="N15" s="22"/>
      <c r="O15" s="22">
        <v>2160</v>
      </c>
      <c r="P15" s="22">
        <v>570</v>
      </c>
      <c r="Q15" s="14" t="s">
        <v>458</v>
      </c>
      <c r="R15" s="14" t="s">
        <v>424</v>
      </c>
      <c r="S15" s="14">
        <v>1</v>
      </c>
      <c r="T15" s="14">
        <v>2155</v>
      </c>
      <c r="U15" s="14">
        <v>495</v>
      </c>
      <c r="V15" s="14"/>
      <c r="W15" s="14"/>
      <c r="X15" s="14"/>
      <c r="Y15" s="14"/>
      <c r="Z15" s="14"/>
      <c r="AA15" s="14"/>
    </row>
    <row r="16" spans="1:27" x14ac:dyDescent="0.25">
      <c r="A16" s="14"/>
      <c r="B16" s="86" t="s">
        <v>354</v>
      </c>
      <c r="C16" s="16"/>
      <c r="D16" s="17"/>
      <c r="E16" s="50"/>
      <c r="F16" s="42"/>
      <c r="G16" s="18"/>
      <c r="H16" s="51"/>
      <c r="I16" s="19"/>
      <c r="J16" s="51"/>
      <c r="K16" s="20"/>
      <c r="L16" s="51"/>
      <c r="M16" s="21"/>
      <c r="N16" s="22"/>
      <c r="O16" s="22"/>
      <c r="P16" s="2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30" x14ac:dyDescent="0.25">
      <c r="A17" s="14" t="s">
        <v>524</v>
      </c>
      <c r="B17" s="87" t="s">
        <v>526</v>
      </c>
      <c r="C17" s="16">
        <v>50</v>
      </c>
      <c r="D17" s="17">
        <f t="shared" ref="D17:D19" si="16">PRODUCT(C17,$D$2)</f>
        <v>133.5</v>
      </c>
      <c r="E17" s="50" t="s">
        <v>581</v>
      </c>
      <c r="F17" s="42"/>
      <c r="G17" s="18"/>
      <c r="H17" s="51"/>
      <c r="I17" s="19"/>
      <c r="J17" s="51"/>
      <c r="K17" s="20"/>
      <c r="L17" s="51"/>
      <c r="M17" s="21"/>
      <c r="N17" s="22"/>
      <c r="O17" s="22"/>
      <c r="P17" s="22"/>
      <c r="Q17" s="14" t="s">
        <v>458</v>
      </c>
      <c r="R17" s="14" t="s">
        <v>527</v>
      </c>
      <c r="S17" s="14"/>
      <c r="T17" s="14"/>
      <c r="U17" s="14"/>
      <c r="V17" s="14"/>
      <c r="W17" s="14"/>
      <c r="X17" s="14"/>
      <c r="Y17" s="14"/>
      <c r="Z17" s="14"/>
      <c r="AA17" s="14"/>
    </row>
    <row r="18" spans="1:30" x14ac:dyDescent="0.25">
      <c r="A18" s="14" t="s">
        <v>529</v>
      </c>
      <c r="B18" s="14" t="s">
        <v>513</v>
      </c>
      <c r="C18" s="16">
        <v>22</v>
      </c>
      <c r="D18" s="17">
        <f t="shared" si="16"/>
        <v>58.739999999999995</v>
      </c>
      <c r="E18" s="50"/>
      <c r="F18" s="42"/>
      <c r="G18" s="18"/>
      <c r="H18" s="51"/>
      <c r="I18" s="19"/>
      <c r="J18" s="51"/>
      <c r="K18" s="20"/>
      <c r="L18" s="51"/>
      <c r="M18" s="21"/>
      <c r="N18" s="22"/>
      <c r="O18" s="22">
        <v>120</v>
      </c>
      <c r="P18" s="22">
        <v>570</v>
      </c>
      <c r="Q18" s="14" t="s">
        <v>458</v>
      </c>
      <c r="R18" s="14" t="s">
        <v>514</v>
      </c>
      <c r="S18" s="14"/>
      <c r="T18" s="14"/>
      <c r="U18" s="14"/>
      <c r="V18" s="14"/>
      <c r="W18" s="14"/>
      <c r="X18" s="14"/>
      <c r="Y18" s="14"/>
      <c r="Z18" s="14"/>
      <c r="AA18" s="14"/>
      <c r="AB18" s="2"/>
      <c r="AD18" s="2"/>
    </row>
    <row r="19" spans="1:30" x14ac:dyDescent="0.25">
      <c r="A19" s="14" t="s">
        <v>530</v>
      </c>
      <c r="B19" s="14" t="s">
        <v>528</v>
      </c>
      <c r="C19" s="16">
        <v>60</v>
      </c>
      <c r="D19" s="17">
        <f t="shared" si="16"/>
        <v>160.19999999999999</v>
      </c>
      <c r="E19" s="50"/>
      <c r="F19" s="42"/>
      <c r="G19" s="18"/>
      <c r="H19" s="51"/>
      <c r="I19" s="19"/>
      <c r="J19" s="51"/>
      <c r="K19" s="20"/>
      <c r="L19" s="51"/>
      <c r="M19" s="21"/>
      <c r="N19" s="22"/>
      <c r="O19" s="22">
        <v>120</v>
      </c>
      <c r="P19" s="22">
        <v>570</v>
      </c>
      <c r="Q19" s="14" t="s">
        <v>458</v>
      </c>
      <c r="R19" s="14" t="s">
        <v>514</v>
      </c>
      <c r="S19" s="14"/>
      <c r="T19" s="14"/>
      <c r="U19" s="14"/>
      <c r="V19" s="14"/>
      <c r="W19" s="14"/>
      <c r="X19" s="14"/>
      <c r="Y19" s="14"/>
      <c r="Z19" s="14"/>
      <c r="AA19" s="14"/>
      <c r="AB19" s="2"/>
      <c r="AD19" s="2"/>
    </row>
    <row r="20" spans="1:30" x14ac:dyDescent="0.25">
      <c r="A20" s="14" t="s">
        <v>518</v>
      </c>
      <c r="B20" s="87" t="s">
        <v>515</v>
      </c>
      <c r="C20" s="16">
        <v>170</v>
      </c>
      <c r="D20" s="17">
        <f t="shared" ref="D20:D22" si="17">PRODUCT(C20,$D$2)</f>
        <v>453.9</v>
      </c>
      <c r="E20" s="50"/>
      <c r="F20" s="42"/>
      <c r="G20" s="18"/>
      <c r="H20" s="51"/>
      <c r="I20" s="19"/>
      <c r="J20" s="51"/>
      <c r="K20" s="20"/>
      <c r="L20" s="51"/>
      <c r="M20" s="21"/>
      <c r="N20" s="22">
        <v>1000</v>
      </c>
      <c r="O20" s="22">
        <v>2160</v>
      </c>
      <c r="P20" s="22">
        <v>660</v>
      </c>
      <c r="Q20" s="14" t="s">
        <v>458</v>
      </c>
      <c r="R20" s="14" t="s">
        <v>522</v>
      </c>
      <c r="S20" s="14"/>
      <c r="T20" s="14"/>
      <c r="U20" s="14"/>
      <c r="V20" s="14"/>
      <c r="W20" s="14"/>
      <c r="X20" s="14"/>
      <c r="Y20" s="14"/>
      <c r="Z20" s="14"/>
      <c r="AA20" s="14"/>
    </row>
    <row r="21" spans="1:30" x14ac:dyDescent="0.25">
      <c r="A21" s="14" t="s">
        <v>516</v>
      </c>
      <c r="B21" s="87" t="s">
        <v>517</v>
      </c>
      <c r="C21" s="16">
        <v>170</v>
      </c>
      <c r="D21" s="17">
        <f t="shared" si="17"/>
        <v>453.9</v>
      </c>
      <c r="E21" s="50"/>
      <c r="F21" s="42"/>
      <c r="G21" s="18"/>
      <c r="H21" s="51"/>
      <c r="I21" s="19"/>
      <c r="J21" s="51"/>
      <c r="K21" s="20"/>
      <c r="L21" s="51"/>
      <c r="M21" s="21"/>
      <c r="N21" s="22">
        <v>1000</v>
      </c>
      <c r="O21" s="22">
        <v>2160</v>
      </c>
      <c r="P21" s="22">
        <v>660</v>
      </c>
      <c r="Q21" s="14" t="s">
        <v>458</v>
      </c>
      <c r="R21" s="14" t="s">
        <v>522</v>
      </c>
      <c r="S21" s="14"/>
      <c r="T21" s="14"/>
      <c r="U21" s="14"/>
      <c r="V21" s="14"/>
      <c r="W21" s="14"/>
      <c r="X21" s="14"/>
      <c r="Y21" s="14"/>
      <c r="Z21" s="14"/>
      <c r="AA21" s="14"/>
    </row>
    <row r="22" spans="1:30" x14ac:dyDescent="0.25">
      <c r="A22" s="14" t="s">
        <v>519</v>
      </c>
      <c r="B22" s="87" t="s">
        <v>520</v>
      </c>
      <c r="C22" s="16">
        <v>200</v>
      </c>
      <c r="D22" s="17">
        <f t="shared" si="17"/>
        <v>534</v>
      </c>
      <c r="E22" s="50"/>
      <c r="F22" s="42"/>
      <c r="G22" s="18"/>
      <c r="H22" s="51"/>
      <c r="I22" s="19"/>
      <c r="J22" s="51"/>
      <c r="K22" s="20"/>
      <c r="L22" s="51"/>
      <c r="M22" s="21"/>
      <c r="N22" s="22">
        <v>1000</v>
      </c>
      <c r="O22" s="22">
        <v>2160</v>
      </c>
      <c r="P22" s="22">
        <v>660</v>
      </c>
      <c r="Q22" s="14" t="s">
        <v>458</v>
      </c>
      <c r="R22" s="14" t="s">
        <v>522</v>
      </c>
      <c r="S22" s="14"/>
      <c r="T22" s="14"/>
      <c r="U22" s="14"/>
      <c r="V22" s="14"/>
      <c r="W22" s="14"/>
      <c r="X22" s="14"/>
      <c r="Y22" s="14"/>
      <c r="Z22" s="14"/>
      <c r="AA22" s="14"/>
    </row>
    <row r="23" spans="1:30" x14ac:dyDescent="0.25">
      <c r="A23" s="14"/>
      <c r="B23" s="87"/>
      <c r="C23" s="16"/>
      <c r="D23" s="17"/>
      <c r="E23" s="50"/>
      <c r="F23" s="42"/>
      <c r="G23" s="18"/>
      <c r="H23" s="51"/>
      <c r="I23" s="19"/>
      <c r="J23" s="51"/>
      <c r="K23" s="20"/>
      <c r="L23" s="51"/>
      <c r="M23" s="21"/>
      <c r="N23" s="22"/>
      <c r="O23" s="22"/>
      <c r="P23" s="22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30" x14ac:dyDescent="0.25">
      <c r="A24" s="14" t="s">
        <v>525</v>
      </c>
      <c r="B24" s="87" t="s">
        <v>521</v>
      </c>
      <c r="C24" s="16">
        <v>20</v>
      </c>
      <c r="D24" s="17">
        <f t="shared" ref="D24" si="18">PRODUCT(C24,$D$2)</f>
        <v>53.4</v>
      </c>
      <c r="E24" s="50"/>
      <c r="F24" s="42"/>
      <c r="G24" s="18"/>
      <c r="H24" s="51"/>
      <c r="I24" s="19"/>
      <c r="J24" s="51"/>
      <c r="K24" s="20"/>
      <c r="L24" s="51"/>
      <c r="M24" s="21"/>
      <c r="N24" s="22"/>
      <c r="O24" s="22"/>
      <c r="P24" s="22"/>
      <c r="Q24" s="14" t="s">
        <v>458</v>
      </c>
      <c r="R24" s="14" t="s">
        <v>523</v>
      </c>
      <c r="S24" s="14"/>
      <c r="T24" s="14"/>
      <c r="U24" s="14"/>
      <c r="V24" s="14"/>
      <c r="W24" s="14"/>
      <c r="X24" s="14"/>
      <c r="Y24" s="14"/>
      <c r="Z24" s="14"/>
      <c r="AA24" s="14"/>
    </row>
    <row r="25" spans="1:30" x14ac:dyDescent="0.25">
      <c r="A25" s="14" t="s">
        <v>355</v>
      </c>
      <c r="B25" s="87" t="s">
        <v>356</v>
      </c>
      <c r="C25" s="16">
        <v>127</v>
      </c>
      <c r="D25" s="17">
        <f t="shared" ref="D25:D29" si="19">PRODUCT(C25,$D$2)</f>
        <v>339.09</v>
      </c>
      <c r="E25" s="50">
        <v>95.72</v>
      </c>
      <c r="F25" s="42">
        <f t="shared" si="1"/>
        <v>102.4204</v>
      </c>
      <c r="G25" s="18">
        <f t="shared" ref="G25:G29" si="20">SUM(D25:E25)</f>
        <v>434.80999999999995</v>
      </c>
      <c r="H25" s="51">
        <f t="shared" ref="H25:H29" si="21">PRODUCT(E25,$H$2)</f>
        <v>143.57999999999998</v>
      </c>
      <c r="I25" s="19">
        <f t="shared" si="4"/>
        <v>482.66999999999996</v>
      </c>
      <c r="J25" s="51">
        <f t="shared" ref="J25:J29" si="22">PRODUCT(E25,$J$2)</f>
        <v>179.95359999999999</v>
      </c>
      <c r="K25" s="20">
        <f t="shared" ref="K25:K29" si="23">SUM(D25,J25)</f>
        <v>519.04359999999997</v>
      </c>
      <c r="L25" s="51"/>
      <c r="M25" s="21"/>
      <c r="N25" s="22">
        <v>400</v>
      </c>
      <c r="O25" s="22">
        <v>2160</v>
      </c>
      <c r="P25" s="22">
        <v>570</v>
      </c>
      <c r="Q25" s="14" t="s">
        <v>462</v>
      </c>
      <c r="R25" s="14"/>
      <c r="S25" s="14">
        <v>1</v>
      </c>
      <c r="T25" s="14">
        <v>1495</v>
      </c>
      <c r="U25" s="14">
        <v>395</v>
      </c>
      <c r="V25" s="14">
        <v>3</v>
      </c>
      <c r="W25" s="14">
        <v>215</v>
      </c>
      <c r="X25" s="14">
        <v>395</v>
      </c>
      <c r="Y25" s="14"/>
      <c r="Z25" s="14"/>
      <c r="AA25" s="14"/>
    </row>
    <row r="26" spans="1:30" x14ac:dyDescent="0.25">
      <c r="A26" s="14" t="s">
        <v>357</v>
      </c>
      <c r="B26" s="87" t="s">
        <v>358</v>
      </c>
      <c r="C26" s="16">
        <v>128</v>
      </c>
      <c r="D26" s="17">
        <f t="shared" si="19"/>
        <v>341.76</v>
      </c>
      <c r="E26" s="50">
        <v>114.19</v>
      </c>
      <c r="F26" s="42">
        <f t="shared" si="1"/>
        <v>122.1833</v>
      </c>
      <c r="G26" s="18">
        <f t="shared" si="20"/>
        <v>455.95</v>
      </c>
      <c r="H26" s="51">
        <f t="shared" si="21"/>
        <v>171.285</v>
      </c>
      <c r="I26" s="19">
        <f t="shared" si="4"/>
        <v>513.04499999999996</v>
      </c>
      <c r="J26" s="51">
        <f t="shared" si="22"/>
        <v>214.67719999999997</v>
      </c>
      <c r="K26" s="20">
        <f t="shared" si="23"/>
        <v>556.43719999999996</v>
      </c>
      <c r="L26" s="51"/>
      <c r="M26" s="21"/>
      <c r="N26" s="22">
        <v>500</v>
      </c>
      <c r="O26" s="22">
        <v>2160</v>
      </c>
      <c r="P26" s="22">
        <v>570</v>
      </c>
      <c r="Q26" s="14" t="s">
        <v>462</v>
      </c>
      <c r="R26" s="14"/>
      <c r="S26" s="14">
        <v>1</v>
      </c>
      <c r="T26" s="14">
        <v>1495</v>
      </c>
      <c r="U26" s="14">
        <v>495</v>
      </c>
      <c r="V26" s="14">
        <v>3</v>
      </c>
      <c r="W26" s="14">
        <v>215</v>
      </c>
      <c r="X26" s="14">
        <v>495</v>
      </c>
      <c r="Y26" s="14"/>
      <c r="Z26" s="14"/>
      <c r="AA26" s="14"/>
    </row>
    <row r="27" spans="1:30" x14ac:dyDescent="0.25">
      <c r="A27" s="14" t="s">
        <v>359</v>
      </c>
      <c r="B27" s="87" t="s">
        <v>360</v>
      </c>
      <c r="C27" s="16">
        <v>129</v>
      </c>
      <c r="D27" s="17">
        <f t="shared" si="19"/>
        <v>344.43</v>
      </c>
      <c r="E27" s="50">
        <v>132.49</v>
      </c>
      <c r="F27" s="42">
        <f t="shared" si="1"/>
        <v>141.76430000000002</v>
      </c>
      <c r="G27" s="18">
        <f t="shared" si="20"/>
        <v>476.92</v>
      </c>
      <c r="H27" s="51">
        <f t="shared" si="21"/>
        <v>198.73500000000001</v>
      </c>
      <c r="I27" s="19">
        <f t="shared" si="4"/>
        <v>543.16499999999996</v>
      </c>
      <c r="J27" s="51">
        <f t="shared" si="22"/>
        <v>249.0812</v>
      </c>
      <c r="K27" s="20">
        <f t="shared" si="23"/>
        <v>593.51120000000003</v>
      </c>
      <c r="L27" s="51"/>
      <c r="M27" s="21"/>
      <c r="N27" s="22">
        <v>600</v>
      </c>
      <c r="O27" s="22">
        <v>2160</v>
      </c>
      <c r="P27" s="22">
        <v>570</v>
      </c>
      <c r="Q27" s="14" t="s">
        <v>462</v>
      </c>
      <c r="R27" s="14"/>
      <c r="S27" s="14">
        <v>1</v>
      </c>
      <c r="T27" s="14">
        <v>1495</v>
      </c>
      <c r="U27" s="14">
        <v>595</v>
      </c>
      <c r="V27" s="14">
        <v>3</v>
      </c>
      <c r="W27" s="14">
        <v>215</v>
      </c>
      <c r="X27" s="14">
        <v>595</v>
      </c>
      <c r="Y27" s="14"/>
      <c r="Z27" s="14"/>
      <c r="AA27" s="14"/>
    </row>
    <row r="28" spans="1:30" x14ac:dyDescent="0.25">
      <c r="A28" s="14" t="s">
        <v>361</v>
      </c>
      <c r="B28" s="87" t="s">
        <v>362</v>
      </c>
      <c r="C28" s="16">
        <v>136</v>
      </c>
      <c r="D28" s="17">
        <f t="shared" si="19"/>
        <v>363.12</v>
      </c>
      <c r="E28" s="50">
        <v>182.04</v>
      </c>
      <c r="F28" s="42">
        <f t="shared" si="1"/>
        <v>194.78280000000001</v>
      </c>
      <c r="G28" s="18">
        <f t="shared" si="20"/>
        <v>545.16</v>
      </c>
      <c r="H28" s="51">
        <f t="shared" si="21"/>
        <v>273.06</v>
      </c>
      <c r="I28" s="19">
        <f t="shared" si="4"/>
        <v>636.18000000000006</v>
      </c>
      <c r="J28" s="51">
        <f t="shared" si="22"/>
        <v>342.23519999999996</v>
      </c>
      <c r="K28" s="20">
        <f t="shared" si="23"/>
        <v>705.35519999999997</v>
      </c>
      <c r="L28" s="51"/>
      <c r="M28" s="21"/>
      <c r="N28" s="22">
        <v>800</v>
      </c>
      <c r="O28" s="22">
        <v>2160</v>
      </c>
      <c r="P28" s="22">
        <v>570</v>
      </c>
      <c r="Q28" s="14" t="s">
        <v>462</v>
      </c>
      <c r="R28" s="14"/>
      <c r="S28" s="14">
        <v>1</v>
      </c>
      <c r="T28" s="14">
        <v>1495</v>
      </c>
      <c r="U28" s="14">
        <v>395</v>
      </c>
      <c r="V28" s="14">
        <v>3</v>
      </c>
      <c r="W28" s="14">
        <v>215</v>
      </c>
      <c r="X28" s="14">
        <v>795</v>
      </c>
      <c r="Y28" s="14"/>
      <c r="Z28" s="14"/>
      <c r="AA28" s="14"/>
    </row>
    <row r="29" spans="1:30" x14ac:dyDescent="0.25">
      <c r="A29" s="14" t="s">
        <v>363</v>
      </c>
      <c r="B29" s="87" t="s">
        <v>364</v>
      </c>
      <c r="C29" s="16">
        <v>137</v>
      </c>
      <c r="D29" s="17">
        <f t="shared" si="19"/>
        <v>365.78999999999996</v>
      </c>
      <c r="E29" s="50">
        <v>222.64</v>
      </c>
      <c r="F29" s="42">
        <f t="shared" si="1"/>
        <v>238.22479999999999</v>
      </c>
      <c r="G29" s="18">
        <f t="shared" si="20"/>
        <v>588.42999999999995</v>
      </c>
      <c r="H29" s="51">
        <f t="shared" si="21"/>
        <v>333.96</v>
      </c>
      <c r="I29" s="19">
        <f t="shared" si="4"/>
        <v>699.75</v>
      </c>
      <c r="J29" s="51">
        <f t="shared" si="22"/>
        <v>418.56319999999994</v>
      </c>
      <c r="K29" s="20">
        <f t="shared" si="23"/>
        <v>784.3531999999999</v>
      </c>
      <c r="L29" s="51"/>
      <c r="M29" s="21"/>
      <c r="N29" s="22">
        <v>1000</v>
      </c>
      <c r="O29" s="22">
        <v>2160</v>
      </c>
      <c r="P29" s="22">
        <v>570</v>
      </c>
      <c r="Q29" s="14" t="s">
        <v>462</v>
      </c>
      <c r="R29" s="14"/>
      <c r="S29" s="14">
        <v>1</v>
      </c>
      <c r="T29" s="14">
        <v>1495</v>
      </c>
      <c r="U29" s="14">
        <v>495</v>
      </c>
      <c r="V29" s="14">
        <v>3</v>
      </c>
      <c r="W29" s="14">
        <v>215</v>
      </c>
      <c r="X29" s="14">
        <v>995</v>
      </c>
      <c r="Y29" s="14"/>
      <c r="Z29" s="14"/>
      <c r="AA29" s="14"/>
    </row>
    <row r="30" spans="1:30" x14ac:dyDescent="0.25">
      <c r="A30" s="14"/>
      <c r="B30" s="86" t="s">
        <v>365</v>
      </c>
      <c r="C30" s="16"/>
      <c r="D30" s="17"/>
      <c r="E30" s="50"/>
      <c r="F30" s="42"/>
      <c r="G30" s="18"/>
      <c r="H30" s="51"/>
      <c r="I30" s="19"/>
      <c r="J30" s="51"/>
      <c r="K30" s="20"/>
      <c r="L30" s="51"/>
      <c r="M30" s="21"/>
      <c r="N30" s="22"/>
      <c r="O30" s="22"/>
      <c r="P30" s="22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30" x14ac:dyDescent="0.25">
      <c r="A31" s="14" t="s">
        <v>366</v>
      </c>
      <c r="B31" s="87" t="s">
        <v>367</v>
      </c>
      <c r="C31" s="16">
        <v>36</v>
      </c>
      <c r="D31" s="17">
        <f t="shared" ref="D31:D36" si="24">PRODUCT(C31,$D$2)</f>
        <v>96.12</v>
      </c>
      <c r="E31" s="50">
        <v>23.26</v>
      </c>
      <c r="F31" s="42">
        <f t="shared" si="1"/>
        <v>24.888200000000005</v>
      </c>
      <c r="G31" s="18">
        <f t="shared" ref="G31:G42" si="25">SUM(D31:E31)</f>
        <v>119.38000000000001</v>
      </c>
      <c r="H31" s="51">
        <f t="shared" ref="H31:H36" si="26">PRODUCT(E31,$H$2)</f>
        <v>34.89</v>
      </c>
      <c r="I31" s="19">
        <f t="shared" si="4"/>
        <v>131.01</v>
      </c>
      <c r="J31" s="51">
        <f t="shared" ref="J31:J36" si="27">PRODUCT(E31,$J$2)</f>
        <v>43.7288</v>
      </c>
      <c r="K31" s="20">
        <f t="shared" ref="K31:K36" si="28">SUM(D31,J31)</f>
        <v>139.84880000000001</v>
      </c>
      <c r="L31" s="51"/>
      <c r="M31" s="21"/>
      <c r="N31" s="22">
        <v>400</v>
      </c>
      <c r="O31" s="22">
        <v>540</v>
      </c>
      <c r="P31" s="22">
        <v>570</v>
      </c>
      <c r="Q31" s="14" t="s">
        <v>456</v>
      </c>
      <c r="R31" s="14" t="s">
        <v>457</v>
      </c>
      <c r="S31" s="14">
        <v>1</v>
      </c>
      <c r="T31" s="14">
        <v>535</v>
      </c>
      <c r="U31" s="14">
        <v>395</v>
      </c>
      <c r="V31" s="14"/>
      <c r="W31" s="14"/>
      <c r="X31" s="14"/>
      <c r="Y31" s="14"/>
      <c r="Z31" s="14"/>
      <c r="AA31" s="14"/>
    </row>
    <row r="32" spans="1:30" x14ac:dyDescent="0.25">
      <c r="A32" s="14" t="s">
        <v>368</v>
      </c>
      <c r="B32" s="87" t="s">
        <v>369</v>
      </c>
      <c r="C32" s="16">
        <v>38</v>
      </c>
      <c r="D32" s="17">
        <f t="shared" si="24"/>
        <v>101.46</v>
      </c>
      <c r="E32" s="50">
        <v>26.47</v>
      </c>
      <c r="F32" s="42">
        <f t="shared" si="1"/>
        <v>28.322900000000001</v>
      </c>
      <c r="G32" s="18">
        <f t="shared" si="25"/>
        <v>127.92999999999999</v>
      </c>
      <c r="H32" s="51">
        <f t="shared" si="26"/>
        <v>39.704999999999998</v>
      </c>
      <c r="I32" s="19">
        <f t="shared" si="4"/>
        <v>141.16499999999999</v>
      </c>
      <c r="J32" s="51">
        <f t="shared" si="27"/>
        <v>49.763599999999997</v>
      </c>
      <c r="K32" s="20">
        <f t="shared" si="28"/>
        <v>151.22359999999998</v>
      </c>
      <c r="L32" s="51"/>
      <c r="M32" s="21"/>
      <c r="N32" s="22">
        <v>500</v>
      </c>
      <c r="O32" s="22">
        <v>540</v>
      </c>
      <c r="P32" s="22">
        <v>570</v>
      </c>
      <c r="Q32" s="14" t="s">
        <v>456</v>
      </c>
      <c r="R32" s="14" t="s">
        <v>457</v>
      </c>
      <c r="S32" s="14">
        <v>1</v>
      </c>
      <c r="T32" s="14">
        <v>535</v>
      </c>
      <c r="U32" s="14">
        <v>495</v>
      </c>
      <c r="V32" s="14"/>
      <c r="W32" s="14"/>
      <c r="X32" s="14"/>
      <c r="Y32" s="14"/>
      <c r="Z32" s="14"/>
      <c r="AA32" s="14"/>
    </row>
    <row r="33" spans="1:27" x14ac:dyDescent="0.25">
      <c r="A33" s="14" t="s">
        <v>370</v>
      </c>
      <c r="B33" s="87" t="s">
        <v>371</v>
      </c>
      <c r="C33" s="16">
        <v>40</v>
      </c>
      <c r="D33" s="17">
        <f t="shared" si="24"/>
        <v>106.8</v>
      </c>
      <c r="E33" s="50">
        <v>29.71</v>
      </c>
      <c r="F33" s="42">
        <f t="shared" si="1"/>
        <v>31.789700000000003</v>
      </c>
      <c r="G33" s="18">
        <f t="shared" si="25"/>
        <v>136.51</v>
      </c>
      <c r="H33" s="51">
        <f t="shared" si="26"/>
        <v>44.564999999999998</v>
      </c>
      <c r="I33" s="19">
        <f t="shared" si="4"/>
        <v>151.36500000000001</v>
      </c>
      <c r="J33" s="51">
        <f t="shared" si="27"/>
        <v>55.854799999999997</v>
      </c>
      <c r="K33" s="20">
        <f t="shared" si="28"/>
        <v>162.65479999999999</v>
      </c>
      <c r="L33" s="51"/>
      <c r="M33" s="21"/>
      <c r="N33" s="22">
        <v>600</v>
      </c>
      <c r="O33" s="22">
        <v>540</v>
      </c>
      <c r="P33" s="22">
        <v>570</v>
      </c>
      <c r="Q33" s="14" t="s">
        <v>456</v>
      </c>
      <c r="R33" s="14" t="s">
        <v>457</v>
      </c>
      <c r="S33" s="14">
        <v>1</v>
      </c>
      <c r="T33" s="14">
        <v>535</v>
      </c>
      <c r="U33" s="14">
        <v>595</v>
      </c>
      <c r="V33" s="14"/>
      <c r="W33" s="14"/>
      <c r="X33" s="14"/>
      <c r="Y33" s="14"/>
      <c r="Z33" s="14"/>
      <c r="AA33" s="14"/>
    </row>
    <row r="34" spans="1:27" x14ac:dyDescent="0.25">
      <c r="A34" s="14" t="s">
        <v>372</v>
      </c>
      <c r="B34" s="87" t="s">
        <v>373</v>
      </c>
      <c r="C34" s="16">
        <v>45</v>
      </c>
      <c r="D34" s="17">
        <f t="shared" si="24"/>
        <v>120.14999999999999</v>
      </c>
      <c r="E34" s="50">
        <v>46.52</v>
      </c>
      <c r="F34" s="42">
        <f t="shared" si="1"/>
        <v>49.77640000000001</v>
      </c>
      <c r="G34" s="18">
        <f t="shared" si="25"/>
        <v>166.67</v>
      </c>
      <c r="H34" s="51">
        <f t="shared" si="26"/>
        <v>69.78</v>
      </c>
      <c r="I34" s="19">
        <f t="shared" si="4"/>
        <v>189.93</v>
      </c>
      <c r="J34" s="51">
        <f t="shared" si="27"/>
        <v>87.457599999999999</v>
      </c>
      <c r="K34" s="20">
        <f t="shared" si="28"/>
        <v>207.60759999999999</v>
      </c>
      <c r="L34" s="51"/>
      <c r="M34" s="21"/>
      <c r="N34" s="22">
        <v>800</v>
      </c>
      <c r="O34" s="22">
        <v>540</v>
      </c>
      <c r="P34" s="22">
        <v>570</v>
      </c>
      <c r="Q34" s="14" t="s">
        <v>456</v>
      </c>
      <c r="R34" s="14" t="s">
        <v>457</v>
      </c>
      <c r="S34" s="14">
        <v>2</v>
      </c>
      <c r="T34" s="14">
        <v>535</v>
      </c>
      <c r="U34" s="14">
        <v>395</v>
      </c>
      <c r="V34" s="14"/>
      <c r="W34" s="14"/>
      <c r="X34" s="14"/>
      <c r="Y34" s="14"/>
      <c r="Z34" s="14"/>
      <c r="AA34" s="14"/>
    </row>
    <row r="35" spans="1:27" x14ac:dyDescent="0.25">
      <c r="A35" s="14" t="s">
        <v>374</v>
      </c>
      <c r="B35" s="87" t="s">
        <v>375</v>
      </c>
      <c r="C35" s="16">
        <v>47</v>
      </c>
      <c r="D35" s="17">
        <f t="shared" si="24"/>
        <v>125.49</v>
      </c>
      <c r="E35" s="50">
        <v>52.94</v>
      </c>
      <c r="F35" s="42">
        <f t="shared" si="1"/>
        <v>56.645800000000001</v>
      </c>
      <c r="G35" s="18">
        <f t="shared" si="25"/>
        <v>178.43</v>
      </c>
      <c r="H35" s="51">
        <f t="shared" si="26"/>
        <v>79.41</v>
      </c>
      <c r="I35" s="19">
        <f t="shared" si="4"/>
        <v>204.89999999999998</v>
      </c>
      <c r="J35" s="51">
        <f t="shared" si="27"/>
        <v>99.527199999999993</v>
      </c>
      <c r="K35" s="20">
        <f t="shared" si="28"/>
        <v>225.0172</v>
      </c>
      <c r="L35" s="51"/>
      <c r="M35" s="21"/>
      <c r="N35" s="22">
        <v>1000</v>
      </c>
      <c r="O35" s="22">
        <v>540</v>
      </c>
      <c r="P35" s="22">
        <v>570</v>
      </c>
      <c r="Q35" s="14" t="s">
        <v>456</v>
      </c>
      <c r="R35" s="14" t="s">
        <v>457</v>
      </c>
      <c r="S35" s="14">
        <v>2</v>
      </c>
      <c r="T35" s="14">
        <v>535</v>
      </c>
      <c r="U35" s="14">
        <v>495</v>
      </c>
      <c r="V35" s="14"/>
      <c r="W35" s="14"/>
      <c r="X35" s="14"/>
      <c r="Y35" s="14"/>
      <c r="Z35" s="14"/>
      <c r="AA35" s="14"/>
    </row>
    <row r="36" spans="1:27" x14ac:dyDescent="0.25">
      <c r="A36" s="14" t="s">
        <v>376</v>
      </c>
      <c r="B36" s="87" t="s">
        <v>377</v>
      </c>
      <c r="C36" s="16">
        <v>49</v>
      </c>
      <c r="D36" s="17">
        <f t="shared" si="24"/>
        <v>130.82999999999998</v>
      </c>
      <c r="E36" s="50">
        <v>59.42</v>
      </c>
      <c r="F36" s="42">
        <f t="shared" si="1"/>
        <v>63.579400000000007</v>
      </c>
      <c r="G36" s="18">
        <f t="shared" si="25"/>
        <v>190.25</v>
      </c>
      <c r="H36" s="51">
        <f t="shared" si="26"/>
        <v>89.13</v>
      </c>
      <c r="I36" s="19">
        <f t="shared" si="4"/>
        <v>219.95999999999998</v>
      </c>
      <c r="J36" s="51">
        <f t="shared" si="27"/>
        <v>111.70959999999999</v>
      </c>
      <c r="K36" s="20">
        <f t="shared" si="28"/>
        <v>242.53959999999998</v>
      </c>
      <c r="L36" s="51"/>
      <c r="M36" s="21"/>
      <c r="N36" s="22">
        <v>1200</v>
      </c>
      <c r="O36" s="22">
        <v>540</v>
      </c>
      <c r="P36" s="22">
        <v>570</v>
      </c>
      <c r="Q36" s="14" t="s">
        <v>456</v>
      </c>
      <c r="R36" s="14" t="s">
        <v>457</v>
      </c>
      <c r="S36" s="14">
        <v>2</v>
      </c>
      <c r="T36" s="14">
        <v>535</v>
      </c>
      <c r="U36" s="14">
        <v>595</v>
      </c>
      <c r="V36" s="14"/>
      <c r="W36" s="14"/>
      <c r="X36" s="14"/>
      <c r="Y36" s="14"/>
      <c r="Z36" s="14"/>
      <c r="AA36" s="14"/>
    </row>
    <row r="37" spans="1:27" x14ac:dyDescent="0.25">
      <c r="A37" s="14"/>
      <c r="B37" s="87"/>
      <c r="C37" s="16"/>
      <c r="D37" s="17"/>
      <c r="E37" s="50"/>
      <c r="F37" s="42"/>
      <c r="G37" s="18"/>
      <c r="H37" s="51"/>
      <c r="I37" s="19"/>
      <c r="J37" s="51"/>
      <c r="K37" s="20"/>
      <c r="L37" s="51"/>
      <c r="M37" s="21"/>
      <c r="N37" s="22"/>
      <c r="O37" s="22"/>
      <c r="P37" s="22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x14ac:dyDescent="0.25">
      <c r="A38" s="14" t="s">
        <v>378</v>
      </c>
      <c r="B38" s="87" t="s">
        <v>379</v>
      </c>
      <c r="C38" s="16">
        <v>82</v>
      </c>
      <c r="D38" s="17">
        <f t="shared" ref="D38:D41" si="29">PRODUCT(C38,$D$2)</f>
        <v>218.94</v>
      </c>
      <c r="E38" s="50">
        <v>37.89</v>
      </c>
      <c r="F38" s="42">
        <f t="shared" si="1"/>
        <v>40.542300000000004</v>
      </c>
      <c r="G38" s="18">
        <f t="shared" si="25"/>
        <v>256.83</v>
      </c>
      <c r="H38" s="51">
        <f t="shared" ref="H38:H42" si="30">PRODUCT(E38,$H$2)</f>
        <v>56.835000000000001</v>
      </c>
      <c r="I38" s="19">
        <f t="shared" si="4"/>
        <v>275.77499999999998</v>
      </c>
      <c r="J38" s="51">
        <f t="shared" ref="J38:J42" si="31">PRODUCT(E38,$J$2)</f>
        <v>71.233199999999997</v>
      </c>
      <c r="K38" s="20">
        <f t="shared" ref="K38:K42" si="32">SUM(D38,J38)</f>
        <v>290.17320000000001</v>
      </c>
      <c r="L38" s="51"/>
      <c r="M38" s="21"/>
      <c r="N38" s="22">
        <v>400</v>
      </c>
      <c r="O38" s="22">
        <v>760</v>
      </c>
      <c r="P38" s="22">
        <v>490</v>
      </c>
      <c r="Q38" s="14" t="s">
        <v>460</v>
      </c>
      <c r="R38" s="14" t="s">
        <v>430</v>
      </c>
      <c r="S38" s="14">
        <v>3</v>
      </c>
      <c r="T38" s="14">
        <v>215</v>
      </c>
      <c r="U38" s="14">
        <v>395</v>
      </c>
      <c r="V38" s="14"/>
      <c r="W38" s="14"/>
      <c r="X38" s="14"/>
      <c r="Y38" s="14"/>
      <c r="Z38" s="14"/>
      <c r="AA38" s="14"/>
    </row>
    <row r="39" spans="1:27" x14ac:dyDescent="0.25">
      <c r="A39" s="14" t="s">
        <v>380</v>
      </c>
      <c r="B39" s="87" t="s">
        <v>381</v>
      </c>
      <c r="C39" s="16">
        <v>84</v>
      </c>
      <c r="D39" s="17">
        <f t="shared" si="29"/>
        <v>224.28</v>
      </c>
      <c r="E39" s="50">
        <v>45.12</v>
      </c>
      <c r="F39" s="42">
        <f t="shared" si="1"/>
        <v>48.278399999999998</v>
      </c>
      <c r="G39" s="18">
        <f t="shared" si="25"/>
        <v>269.39999999999998</v>
      </c>
      <c r="H39" s="51">
        <f t="shared" si="30"/>
        <v>67.679999999999993</v>
      </c>
      <c r="I39" s="19">
        <f t="shared" si="4"/>
        <v>291.95999999999998</v>
      </c>
      <c r="J39" s="51">
        <f t="shared" si="31"/>
        <v>84.825599999999994</v>
      </c>
      <c r="K39" s="20">
        <f t="shared" si="32"/>
        <v>309.10559999999998</v>
      </c>
      <c r="L39" s="51"/>
      <c r="M39" s="21"/>
      <c r="N39" s="22">
        <v>500</v>
      </c>
      <c r="O39" s="22">
        <v>760</v>
      </c>
      <c r="P39" s="22">
        <v>490</v>
      </c>
      <c r="Q39" s="14" t="s">
        <v>460</v>
      </c>
      <c r="R39" s="14" t="s">
        <v>430</v>
      </c>
      <c r="S39" s="14">
        <v>3</v>
      </c>
      <c r="T39" s="14">
        <v>215</v>
      </c>
      <c r="U39" s="14">
        <v>495</v>
      </c>
      <c r="V39" s="14"/>
      <c r="W39" s="14"/>
      <c r="X39" s="14"/>
      <c r="Y39" s="14"/>
      <c r="Z39" s="14"/>
      <c r="AA39" s="14"/>
    </row>
    <row r="40" spans="1:27" x14ac:dyDescent="0.25">
      <c r="A40" s="14" t="s">
        <v>382</v>
      </c>
      <c r="B40" s="87" t="s">
        <v>383</v>
      </c>
      <c r="C40" s="16">
        <v>86</v>
      </c>
      <c r="D40" s="17">
        <f t="shared" si="29"/>
        <v>229.62</v>
      </c>
      <c r="E40" s="50">
        <v>55.3</v>
      </c>
      <c r="F40" s="42">
        <f t="shared" si="1"/>
        <v>59.170999999999999</v>
      </c>
      <c r="G40" s="18">
        <f t="shared" si="25"/>
        <v>284.92</v>
      </c>
      <c r="H40" s="51">
        <f t="shared" si="30"/>
        <v>82.949999999999989</v>
      </c>
      <c r="I40" s="19">
        <f t="shared" si="4"/>
        <v>312.57</v>
      </c>
      <c r="J40" s="51">
        <f t="shared" si="31"/>
        <v>103.96399999999998</v>
      </c>
      <c r="K40" s="20">
        <f t="shared" si="32"/>
        <v>333.584</v>
      </c>
      <c r="L40" s="51"/>
      <c r="M40" s="21"/>
      <c r="N40" s="22">
        <v>600</v>
      </c>
      <c r="O40" s="22">
        <v>760</v>
      </c>
      <c r="P40" s="22">
        <v>490</v>
      </c>
      <c r="Q40" s="14" t="s">
        <v>460</v>
      </c>
      <c r="R40" s="14" t="s">
        <v>430</v>
      </c>
      <c r="S40" s="14">
        <v>3</v>
      </c>
      <c r="T40" s="14">
        <v>215</v>
      </c>
      <c r="U40" s="14">
        <v>595</v>
      </c>
      <c r="V40" s="14"/>
      <c r="W40" s="14"/>
      <c r="X40" s="14"/>
      <c r="Y40" s="14"/>
      <c r="Z40" s="14"/>
      <c r="AA40" s="14"/>
    </row>
    <row r="41" spans="1:27" x14ac:dyDescent="0.25">
      <c r="A41" s="14" t="s">
        <v>384</v>
      </c>
      <c r="B41" s="87" t="s">
        <v>385</v>
      </c>
      <c r="C41" s="16">
        <v>90</v>
      </c>
      <c r="D41" s="17">
        <f t="shared" si="29"/>
        <v>240.29999999999998</v>
      </c>
      <c r="E41" s="51">
        <v>72.400000000000006</v>
      </c>
      <c r="F41" s="42">
        <f t="shared" si="1"/>
        <v>77.468000000000004</v>
      </c>
      <c r="G41" s="27">
        <f t="shared" si="25"/>
        <v>312.7</v>
      </c>
      <c r="H41" s="51">
        <f t="shared" si="30"/>
        <v>108.60000000000001</v>
      </c>
      <c r="I41" s="19">
        <f t="shared" si="4"/>
        <v>348.9</v>
      </c>
      <c r="J41" s="51">
        <f t="shared" si="31"/>
        <v>136.11199999999999</v>
      </c>
      <c r="K41" s="20">
        <f t="shared" si="32"/>
        <v>376.41199999999998</v>
      </c>
      <c r="L41" s="51"/>
      <c r="M41" s="21"/>
      <c r="N41" s="22">
        <v>800</v>
      </c>
      <c r="O41" s="22">
        <v>760</v>
      </c>
      <c r="P41" s="22">
        <v>490</v>
      </c>
      <c r="Q41" s="14" t="s">
        <v>460</v>
      </c>
      <c r="R41" s="14" t="s">
        <v>430</v>
      </c>
      <c r="S41" s="14">
        <v>3</v>
      </c>
      <c r="T41" s="14">
        <v>215</v>
      </c>
      <c r="U41" s="14">
        <v>795</v>
      </c>
      <c r="V41" s="14"/>
      <c r="W41" s="14"/>
      <c r="X41" s="14"/>
      <c r="Y41" s="14"/>
      <c r="Z41" s="14"/>
      <c r="AA41" s="14"/>
    </row>
    <row r="42" spans="1:27" x14ac:dyDescent="0.25">
      <c r="A42" s="14" t="s">
        <v>386</v>
      </c>
      <c r="B42" s="87" t="s">
        <v>387</v>
      </c>
      <c r="C42" s="16">
        <v>92</v>
      </c>
      <c r="D42" s="17">
        <v>218.68</v>
      </c>
      <c r="E42" s="51">
        <v>90.24</v>
      </c>
      <c r="F42" s="42">
        <f t="shared" si="1"/>
        <v>96.556799999999996</v>
      </c>
      <c r="G42" s="27">
        <f t="shared" si="25"/>
        <v>308.92</v>
      </c>
      <c r="H42" s="51">
        <f t="shared" si="30"/>
        <v>135.35999999999999</v>
      </c>
      <c r="I42" s="19">
        <f t="shared" si="4"/>
        <v>354.03999999999996</v>
      </c>
      <c r="J42" s="51">
        <f t="shared" si="31"/>
        <v>169.65119999999999</v>
      </c>
      <c r="K42" s="20">
        <f t="shared" si="32"/>
        <v>388.33119999999997</v>
      </c>
      <c r="L42" s="51"/>
      <c r="M42" s="21"/>
      <c r="N42" s="22">
        <v>1000</v>
      </c>
      <c r="O42" s="22">
        <v>760</v>
      </c>
      <c r="P42" s="22">
        <v>490</v>
      </c>
      <c r="Q42" s="14" t="s">
        <v>460</v>
      </c>
      <c r="R42" s="14" t="s">
        <v>430</v>
      </c>
      <c r="S42" s="14">
        <v>3</v>
      </c>
      <c r="T42" s="14">
        <v>215</v>
      </c>
      <c r="U42" s="14">
        <v>995</v>
      </c>
      <c r="V42" s="14"/>
      <c r="W42" s="14"/>
      <c r="X42" s="14"/>
      <c r="Y42" s="14"/>
      <c r="Z42" s="14"/>
      <c r="AA42" s="14"/>
    </row>
    <row r="43" spans="1:27" x14ac:dyDescent="0.25">
      <c r="A43" s="14"/>
      <c r="B43" s="86" t="s">
        <v>388</v>
      </c>
      <c r="C43" s="16"/>
      <c r="D43" s="17"/>
      <c r="E43" s="51"/>
      <c r="F43" s="42"/>
      <c r="G43" s="27"/>
      <c r="H43" s="51"/>
      <c r="I43" s="19"/>
      <c r="J43" s="51"/>
      <c r="K43" s="20"/>
      <c r="L43" s="51"/>
      <c r="M43" s="21"/>
      <c r="N43" s="22"/>
      <c r="O43" s="22"/>
      <c r="P43" s="22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x14ac:dyDescent="0.25">
      <c r="A44" s="14"/>
      <c r="B44" s="87"/>
      <c r="C44" s="16"/>
      <c r="D44" s="17"/>
      <c r="E44" s="51"/>
      <c r="F44" s="42"/>
      <c r="G44" s="27"/>
      <c r="H44" s="51"/>
      <c r="I44" s="19"/>
      <c r="J44" s="51"/>
      <c r="K44" s="20"/>
      <c r="L44" s="51"/>
      <c r="M44" s="21"/>
      <c r="N44" s="22"/>
      <c r="O44" s="22"/>
      <c r="P44" s="22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x14ac:dyDescent="0.25">
      <c r="A45" s="14" t="s">
        <v>389</v>
      </c>
      <c r="B45" s="87" t="s">
        <v>390</v>
      </c>
      <c r="C45" s="16">
        <v>67.099999999999994</v>
      </c>
      <c r="D45" s="17">
        <f t="shared" ref="D45:D49" si="33">PRODUCT(C45,$D$2)</f>
        <v>179.15699999999998</v>
      </c>
      <c r="E45" s="51">
        <v>25.26</v>
      </c>
      <c r="F45" s="42">
        <f t="shared" si="1"/>
        <v>27.028200000000002</v>
      </c>
      <c r="G45" s="27">
        <f t="shared" ref="G45:G49" si="34">SUM(D45:E45)</f>
        <v>204.41699999999997</v>
      </c>
      <c r="H45" s="51">
        <f t="shared" ref="H45:H49" si="35">PRODUCT(E45,$H$2)</f>
        <v>37.89</v>
      </c>
      <c r="I45" s="19">
        <f t="shared" si="4"/>
        <v>217.04699999999997</v>
      </c>
      <c r="J45" s="51">
        <f t="shared" ref="J45:J49" si="36">PRODUCT(E45,$J$2)</f>
        <v>47.488799999999998</v>
      </c>
      <c r="K45" s="20">
        <f t="shared" ref="K45:K49" si="37">SUM(D45,J45)</f>
        <v>226.64579999999998</v>
      </c>
      <c r="L45" s="51"/>
      <c r="M45" s="21"/>
      <c r="N45" s="22">
        <v>400</v>
      </c>
      <c r="O45" s="22">
        <v>540</v>
      </c>
      <c r="P45" s="22">
        <v>490</v>
      </c>
      <c r="Q45" s="14" t="s">
        <v>460</v>
      </c>
      <c r="R45" s="14" t="s">
        <v>433</v>
      </c>
      <c r="S45" s="14">
        <v>2</v>
      </c>
      <c r="T45" s="14">
        <v>215</v>
      </c>
      <c r="U45" s="14">
        <v>395</v>
      </c>
      <c r="V45" s="14"/>
      <c r="W45" s="14"/>
      <c r="X45" s="14"/>
      <c r="Y45" s="14"/>
      <c r="Z45" s="14"/>
      <c r="AA45" s="14"/>
    </row>
    <row r="46" spans="1:27" x14ac:dyDescent="0.25">
      <c r="A46" s="14" t="s">
        <v>391</v>
      </c>
      <c r="B46" s="87" t="s">
        <v>392</v>
      </c>
      <c r="C46" s="16">
        <v>70.099999999999994</v>
      </c>
      <c r="D46" s="17">
        <f t="shared" si="33"/>
        <v>187.16699999999997</v>
      </c>
      <c r="E46" s="51">
        <v>30.08</v>
      </c>
      <c r="F46" s="42">
        <f t="shared" si="1"/>
        <v>32.185600000000001</v>
      </c>
      <c r="G46" s="27">
        <f t="shared" si="34"/>
        <v>217.24699999999996</v>
      </c>
      <c r="H46" s="51">
        <f t="shared" si="35"/>
        <v>45.12</v>
      </c>
      <c r="I46" s="19">
        <f t="shared" si="4"/>
        <v>232.28699999999998</v>
      </c>
      <c r="J46" s="51">
        <f t="shared" si="36"/>
        <v>56.550399999999996</v>
      </c>
      <c r="K46" s="20">
        <f t="shared" si="37"/>
        <v>243.71739999999997</v>
      </c>
      <c r="L46" s="51"/>
      <c r="M46" s="21"/>
      <c r="N46" s="22">
        <v>500</v>
      </c>
      <c r="O46" s="22">
        <v>540</v>
      </c>
      <c r="P46" s="22">
        <v>490</v>
      </c>
      <c r="Q46" s="14" t="s">
        <v>460</v>
      </c>
      <c r="R46" s="14" t="s">
        <v>433</v>
      </c>
      <c r="S46" s="14">
        <v>2</v>
      </c>
      <c r="T46" s="14">
        <v>215</v>
      </c>
      <c r="U46" s="14">
        <v>495</v>
      </c>
      <c r="V46" s="14"/>
      <c r="W46" s="14"/>
      <c r="X46" s="14"/>
      <c r="Y46" s="14"/>
      <c r="Z46" s="14"/>
      <c r="AA46" s="14"/>
    </row>
    <row r="47" spans="1:27" x14ac:dyDescent="0.25">
      <c r="A47" s="14" t="s">
        <v>393</v>
      </c>
      <c r="B47" s="87" t="s">
        <v>394</v>
      </c>
      <c r="C47" s="16">
        <v>71.5</v>
      </c>
      <c r="D47" s="17">
        <f t="shared" si="33"/>
        <v>190.905</v>
      </c>
      <c r="E47" s="51">
        <v>34.96</v>
      </c>
      <c r="F47" s="42">
        <f t="shared" si="1"/>
        <v>37.407200000000003</v>
      </c>
      <c r="G47" s="27">
        <f t="shared" si="34"/>
        <v>225.86500000000001</v>
      </c>
      <c r="H47" s="51">
        <f t="shared" si="35"/>
        <v>52.44</v>
      </c>
      <c r="I47" s="19">
        <f t="shared" si="4"/>
        <v>243.345</v>
      </c>
      <c r="J47" s="51">
        <f t="shared" si="36"/>
        <v>65.724800000000002</v>
      </c>
      <c r="K47" s="20">
        <f t="shared" si="37"/>
        <v>256.62979999999999</v>
      </c>
      <c r="L47" s="51"/>
      <c r="M47" s="21"/>
      <c r="N47" s="22">
        <v>600</v>
      </c>
      <c r="O47" s="22">
        <v>540</v>
      </c>
      <c r="P47" s="22">
        <v>490</v>
      </c>
      <c r="Q47" s="14" t="s">
        <v>460</v>
      </c>
      <c r="R47" s="14" t="s">
        <v>433</v>
      </c>
      <c r="S47" s="14">
        <v>2</v>
      </c>
      <c r="T47" s="14">
        <v>215</v>
      </c>
      <c r="U47" s="14">
        <v>595</v>
      </c>
      <c r="V47" s="14"/>
      <c r="W47" s="14"/>
      <c r="X47" s="14"/>
      <c r="Y47" s="14"/>
      <c r="Z47" s="14"/>
      <c r="AA47" s="14"/>
    </row>
    <row r="48" spans="1:27" x14ac:dyDescent="0.25">
      <c r="A48" s="14" t="s">
        <v>395</v>
      </c>
      <c r="B48" s="87" t="s">
        <v>396</v>
      </c>
      <c r="C48" s="16">
        <v>77</v>
      </c>
      <c r="D48" s="17">
        <f t="shared" si="33"/>
        <v>205.59</v>
      </c>
      <c r="E48" s="51">
        <v>50.52</v>
      </c>
      <c r="F48" s="42">
        <f t="shared" si="1"/>
        <v>54.056400000000004</v>
      </c>
      <c r="G48" s="27">
        <f t="shared" si="34"/>
        <v>256.11</v>
      </c>
      <c r="H48" s="51">
        <f t="shared" si="35"/>
        <v>75.78</v>
      </c>
      <c r="I48" s="19">
        <f t="shared" si="4"/>
        <v>281.37</v>
      </c>
      <c r="J48" s="51">
        <f t="shared" si="36"/>
        <v>94.977599999999995</v>
      </c>
      <c r="K48" s="20">
        <f t="shared" si="37"/>
        <v>300.56759999999997</v>
      </c>
      <c r="L48" s="51"/>
      <c r="M48" s="21"/>
      <c r="N48" s="22">
        <v>800</v>
      </c>
      <c r="O48" s="22">
        <v>540</v>
      </c>
      <c r="P48" s="22">
        <v>490</v>
      </c>
      <c r="Q48" s="14" t="s">
        <v>460</v>
      </c>
      <c r="R48" s="14" t="s">
        <v>433</v>
      </c>
      <c r="S48" s="14">
        <v>2</v>
      </c>
      <c r="T48" s="14">
        <v>215</v>
      </c>
      <c r="U48" s="14">
        <v>795</v>
      </c>
      <c r="V48" s="14"/>
      <c r="W48" s="14"/>
      <c r="X48" s="14"/>
      <c r="Y48" s="14"/>
      <c r="Z48" s="14"/>
      <c r="AA48" s="14"/>
    </row>
    <row r="49" spans="1:27" x14ac:dyDescent="0.25">
      <c r="A49" s="14" t="s">
        <v>397</v>
      </c>
      <c r="B49" s="87" t="s">
        <v>398</v>
      </c>
      <c r="C49" s="16">
        <v>79.2</v>
      </c>
      <c r="D49" s="17">
        <f t="shared" si="33"/>
        <v>211.464</v>
      </c>
      <c r="E49" s="51">
        <v>60.16</v>
      </c>
      <c r="F49" s="42">
        <f t="shared" si="1"/>
        <v>64.371200000000002</v>
      </c>
      <c r="G49" s="27">
        <f t="shared" si="34"/>
        <v>271.62400000000002</v>
      </c>
      <c r="H49" s="51">
        <f t="shared" si="35"/>
        <v>90.24</v>
      </c>
      <c r="I49" s="19">
        <f t="shared" si="4"/>
        <v>301.70400000000001</v>
      </c>
      <c r="J49" s="51">
        <f t="shared" si="36"/>
        <v>113.10079999999999</v>
      </c>
      <c r="K49" s="20">
        <f t="shared" si="37"/>
        <v>324.56479999999999</v>
      </c>
      <c r="L49" s="51"/>
      <c r="M49" s="21"/>
      <c r="N49" s="22">
        <v>1000</v>
      </c>
      <c r="O49" s="22">
        <v>540</v>
      </c>
      <c r="P49" s="22">
        <v>490</v>
      </c>
      <c r="Q49" s="14" t="s">
        <v>460</v>
      </c>
      <c r="R49" s="14" t="s">
        <v>433</v>
      </c>
      <c r="S49" s="14">
        <v>2</v>
      </c>
      <c r="T49" s="14">
        <v>215</v>
      </c>
      <c r="U49" s="14">
        <v>995</v>
      </c>
      <c r="V49" s="14"/>
      <c r="W49" s="14"/>
      <c r="X49" s="14"/>
      <c r="Y49" s="14"/>
      <c r="Z49" s="14"/>
      <c r="AA49" s="14"/>
    </row>
    <row r="50" spans="1:27" x14ac:dyDescent="0.25">
      <c r="A50" s="14"/>
      <c r="B50" s="86" t="s">
        <v>388</v>
      </c>
      <c r="C50" s="16"/>
      <c r="D50" s="17"/>
      <c r="E50" s="51"/>
      <c r="F50" s="42"/>
      <c r="G50" s="27"/>
      <c r="H50" s="51"/>
      <c r="I50" s="19"/>
      <c r="J50" s="51"/>
      <c r="K50" s="20"/>
      <c r="L50" s="51"/>
      <c r="M50" s="21"/>
      <c r="N50" s="22"/>
      <c r="O50" s="22"/>
      <c r="P50" s="22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x14ac:dyDescent="0.25">
      <c r="A51" s="14" t="s">
        <v>399</v>
      </c>
      <c r="B51" s="87" t="s">
        <v>400</v>
      </c>
      <c r="C51" s="16">
        <v>93.5</v>
      </c>
      <c r="D51" s="17">
        <f t="shared" ref="D51:D54" si="38">PRODUCT(C51,$D$2)</f>
        <v>249.64499999999998</v>
      </c>
      <c r="E51" s="51">
        <v>65.400000000000006</v>
      </c>
      <c r="F51" s="42">
        <f t="shared" si="1"/>
        <v>69.978000000000009</v>
      </c>
      <c r="G51" s="27">
        <f t="shared" ref="G51:G54" si="39">SUM(D51:E51)</f>
        <v>315.04499999999996</v>
      </c>
      <c r="H51" s="51">
        <f t="shared" ref="H51:H54" si="40">PRODUCT(E51,$H$2)</f>
        <v>98.100000000000009</v>
      </c>
      <c r="I51" s="19">
        <f t="shared" si="4"/>
        <v>347.745</v>
      </c>
      <c r="J51" s="51">
        <f t="shared" ref="J51:J54" si="41">PRODUCT(E51,$J$2)</f>
        <v>122.952</v>
      </c>
      <c r="K51" s="20">
        <f t="shared" ref="K51:K54" si="42">SUM(D51,J51)</f>
        <v>372.59699999999998</v>
      </c>
      <c r="L51" s="51"/>
      <c r="M51" s="21"/>
      <c r="N51" s="22">
        <v>500</v>
      </c>
      <c r="O51" s="22">
        <v>1000</v>
      </c>
      <c r="P51" s="22">
        <v>490</v>
      </c>
      <c r="Q51" s="14" t="s">
        <v>460</v>
      </c>
      <c r="R51" s="14" t="s">
        <v>461</v>
      </c>
      <c r="S51" s="14">
        <v>5</v>
      </c>
      <c r="T51" s="14">
        <v>175</v>
      </c>
      <c r="U51" s="14">
        <v>495</v>
      </c>
      <c r="V51" s="14"/>
      <c r="W51" s="14"/>
      <c r="X51" s="14"/>
      <c r="Y51" s="14"/>
      <c r="Z51" s="14"/>
      <c r="AA51" s="14"/>
    </row>
    <row r="52" spans="1:27" x14ac:dyDescent="0.25">
      <c r="A52" s="14" t="s">
        <v>401</v>
      </c>
      <c r="B52" s="87" t="s">
        <v>402</v>
      </c>
      <c r="C52" s="16">
        <v>94.6</v>
      </c>
      <c r="D52" s="17">
        <f t="shared" si="38"/>
        <v>252.58199999999997</v>
      </c>
      <c r="E52" s="51">
        <v>76.05</v>
      </c>
      <c r="F52" s="42">
        <f t="shared" si="1"/>
        <v>81.373500000000007</v>
      </c>
      <c r="G52" s="27">
        <f t="shared" si="39"/>
        <v>328.63199999999995</v>
      </c>
      <c r="H52" s="51">
        <f t="shared" si="40"/>
        <v>114.07499999999999</v>
      </c>
      <c r="I52" s="19">
        <f t="shared" si="4"/>
        <v>366.65699999999993</v>
      </c>
      <c r="J52" s="51">
        <f t="shared" si="41"/>
        <v>142.97399999999999</v>
      </c>
      <c r="K52" s="20">
        <f t="shared" si="42"/>
        <v>395.55599999999993</v>
      </c>
      <c r="L52" s="51"/>
      <c r="M52" s="21"/>
      <c r="N52" s="22">
        <v>600</v>
      </c>
      <c r="O52" s="22">
        <v>1000</v>
      </c>
      <c r="P52" s="22">
        <v>490</v>
      </c>
      <c r="Q52" s="14" t="s">
        <v>460</v>
      </c>
      <c r="R52" s="14" t="s">
        <v>461</v>
      </c>
      <c r="S52" s="14">
        <v>5</v>
      </c>
      <c r="T52" s="14">
        <v>175</v>
      </c>
      <c r="U52" s="14">
        <v>595</v>
      </c>
      <c r="V52" s="14"/>
      <c r="W52" s="14"/>
      <c r="X52" s="14"/>
      <c r="Y52" s="14"/>
      <c r="Z52" s="14"/>
      <c r="AA52" s="14"/>
    </row>
    <row r="53" spans="1:27" x14ac:dyDescent="0.25">
      <c r="A53" s="14" t="s">
        <v>403</v>
      </c>
      <c r="B53" s="87" t="s">
        <v>404</v>
      </c>
      <c r="C53" s="16">
        <v>98.8</v>
      </c>
      <c r="D53" s="17">
        <f t="shared" si="38"/>
        <v>263.79599999999999</v>
      </c>
      <c r="E53" s="51">
        <v>109.6</v>
      </c>
      <c r="F53" s="42">
        <f t="shared" si="1"/>
        <v>117.27200000000001</v>
      </c>
      <c r="G53" s="27">
        <f t="shared" si="39"/>
        <v>373.39599999999996</v>
      </c>
      <c r="H53" s="51">
        <f t="shared" si="40"/>
        <v>164.39999999999998</v>
      </c>
      <c r="I53" s="19">
        <f t="shared" si="4"/>
        <v>428.19599999999997</v>
      </c>
      <c r="J53" s="51">
        <f t="shared" si="41"/>
        <v>206.04799999999997</v>
      </c>
      <c r="K53" s="20">
        <f t="shared" si="42"/>
        <v>469.84399999999994</v>
      </c>
      <c r="L53" s="51"/>
      <c r="M53" s="21"/>
      <c r="N53" s="22">
        <v>800</v>
      </c>
      <c r="O53" s="22">
        <v>1000</v>
      </c>
      <c r="P53" s="22">
        <v>490</v>
      </c>
      <c r="Q53" s="14" t="s">
        <v>460</v>
      </c>
      <c r="R53" s="14" t="s">
        <v>461</v>
      </c>
      <c r="S53" s="14">
        <v>5</v>
      </c>
      <c r="T53" s="14">
        <v>175</v>
      </c>
      <c r="U53" s="14">
        <v>795</v>
      </c>
      <c r="V53" s="14"/>
      <c r="W53" s="14"/>
      <c r="X53" s="14"/>
      <c r="Y53" s="14"/>
      <c r="Z53" s="14"/>
      <c r="AA53" s="14"/>
    </row>
    <row r="54" spans="1:27" x14ac:dyDescent="0.25">
      <c r="A54" s="14" t="s">
        <v>405</v>
      </c>
      <c r="B54" s="87" t="s">
        <v>406</v>
      </c>
      <c r="C54" s="16">
        <v>100</v>
      </c>
      <c r="D54" s="17">
        <f t="shared" si="38"/>
        <v>267</v>
      </c>
      <c r="E54" s="51">
        <v>130.80000000000001</v>
      </c>
      <c r="F54" s="42">
        <f t="shared" si="1"/>
        <v>139.95600000000002</v>
      </c>
      <c r="G54" s="27">
        <f t="shared" si="39"/>
        <v>397.8</v>
      </c>
      <c r="H54" s="51">
        <f t="shared" si="40"/>
        <v>196.20000000000002</v>
      </c>
      <c r="I54" s="19">
        <f t="shared" si="4"/>
        <v>463.20000000000005</v>
      </c>
      <c r="J54" s="51">
        <f t="shared" si="41"/>
        <v>245.904</v>
      </c>
      <c r="K54" s="20">
        <f t="shared" si="42"/>
        <v>512.904</v>
      </c>
      <c r="L54" s="51"/>
      <c r="M54" s="21"/>
      <c r="N54" s="22">
        <v>1000</v>
      </c>
      <c r="O54" s="22">
        <v>1000</v>
      </c>
      <c r="P54" s="22">
        <v>490</v>
      </c>
      <c r="Q54" s="14" t="s">
        <v>460</v>
      </c>
      <c r="R54" s="14" t="s">
        <v>461</v>
      </c>
      <c r="S54" s="14">
        <v>5</v>
      </c>
      <c r="T54" s="14">
        <v>175</v>
      </c>
      <c r="U54" s="14">
        <v>995</v>
      </c>
      <c r="V54" s="14"/>
      <c r="W54" s="14"/>
      <c r="X54" s="14"/>
      <c r="Y54" s="14"/>
      <c r="Z54" s="14"/>
      <c r="AA54" s="14"/>
    </row>
    <row r="55" spans="1:27" x14ac:dyDescent="0.25">
      <c r="A55" s="14"/>
      <c r="B55" s="86" t="s">
        <v>388</v>
      </c>
      <c r="C55" s="28"/>
      <c r="D55" s="29"/>
      <c r="E55" s="51"/>
      <c r="F55" s="42"/>
      <c r="G55" s="27"/>
      <c r="H55" s="57"/>
      <c r="I55" s="19"/>
      <c r="J55" s="57"/>
      <c r="K55" s="30"/>
      <c r="L55" s="57"/>
      <c r="M55" s="31"/>
      <c r="N55" s="32"/>
      <c r="O55" s="32"/>
      <c r="P55" s="32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x14ac:dyDescent="0.25">
      <c r="A56" s="14"/>
      <c r="B56" s="87" t="s">
        <v>565</v>
      </c>
      <c r="C56" s="26"/>
      <c r="D56" s="26"/>
      <c r="E56" s="52">
        <v>12.63</v>
      </c>
      <c r="F56" s="42">
        <f t="shared" si="1"/>
        <v>13.514100000000001</v>
      </c>
      <c r="G56" s="33"/>
      <c r="H56" s="52">
        <f t="shared" ref="H56:H60" si="43">PRODUCT(E56,$H$2)</f>
        <v>18.945</v>
      </c>
      <c r="I56" s="16"/>
      <c r="J56" s="52">
        <f t="shared" ref="J56:J60" si="44">PRODUCT(E56,$J$2)</f>
        <v>23.744399999999999</v>
      </c>
      <c r="K56" s="33"/>
      <c r="L56" s="60"/>
      <c r="M56" s="3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x14ac:dyDescent="0.25">
      <c r="A57" s="14"/>
      <c r="B57" s="87" t="s">
        <v>567</v>
      </c>
      <c r="C57" s="26"/>
      <c r="D57" s="26"/>
      <c r="E57" s="52">
        <v>17.48</v>
      </c>
      <c r="F57" s="42">
        <f t="shared" si="1"/>
        <v>18.703600000000002</v>
      </c>
      <c r="G57" s="33"/>
      <c r="H57" s="52">
        <f t="shared" si="43"/>
        <v>26.22</v>
      </c>
      <c r="I57" s="16"/>
      <c r="J57" s="52">
        <f t="shared" si="44"/>
        <v>32.862400000000001</v>
      </c>
      <c r="K57" s="33"/>
      <c r="L57" s="60"/>
      <c r="M57" s="3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x14ac:dyDescent="0.25">
      <c r="A58" s="14"/>
      <c r="B58" s="87" t="s">
        <v>568</v>
      </c>
      <c r="C58" s="26"/>
      <c r="D58" s="26"/>
      <c r="E58" s="52">
        <v>22.28</v>
      </c>
      <c r="F58" s="42">
        <f t="shared" ref="F58:F65" si="45">PRODUCT(E58,$F$2)</f>
        <v>23.839600000000004</v>
      </c>
      <c r="G58" s="33"/>
      <c r="H58" s="52">
        <f t="shared" si="43"/>
        <v>33.42</v>
      </c>
      <c r="I58" s="16"/>
      <c r="J58" s="52">
        <f t="shared" si="44"/>
        <v>41.886400000000002</v>
      </c>
      <c r="K58" s="33"/>
      <c r="L58" s="60"/>
      <c r="M58" s="3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x14ac:dyDescent="0.25">
      <c r="A59" s="14"/>
      <c r="B59" s="87" t="s">
        <v>569</v>
      </c>
      <c r="C59" s="26"/>
      <c r="D59" s="26"/>
      <c r="E59" s="52">
        <v>27.18</v>
      </c>
      <c r="F59" s="42">
        <f t="shared" si="45"/>
        <v>29.082600000000003</v>
      </c>
      <c r="G59" s="33"/>
      <c r="H59" s="52">
        <f t="shared" si="43"/>
        <v>40.769999999999996</v>
      </c>
      <c r="I59" s="16"/>
      <c r="J59" s="52">
        <f t="shared" si="44"/>
        <v>51.098399999999998</v>
      </c>
      <c r="K59" s="33"/>
      <c r="L59" s="60"/>
      <c r="M59" s="3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x14ac:dyDescent="0.25">
      <c r="A60" s="14"/>
      <c r="B60" s="87" t="s">
        <v>570</v>
      </c>
      <c r="C60" s="26"/>
      <c r="D60" s="26"/>
      <c r="E60" s="52">
        <v>28.19</v>
      </c>
      <c r="F60" s="42">
        <f t="shared" si="45"/>
        <v>30.163300000000003</v>
      </c>
      <c r="G60" s="33"/>
      <c r="H60" s="52">
        <f t="shared" si="43"/>
        <v>42.285000000000004</v>
      </c>
      <c r="I60" s="16"/>
      <c r="J60" s="52">
        <f t="shared" si="44"/>
        <v>52.997199999999999</v>
      </c>
      <c r="K60" s="33"/>
      <c r="L60" s="60"/>
      <c r="M60" s="3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x14ac:dyDescent="0.25">
      <c r="A61" s="14"/>
      <c r="B61" s="87" t="s">
        <v>571</v>
      </c>
      <c r="C61" s="26"/>
      <c r="D61" s="26"/>
      <c r="E61" s="52">
        <v>10.96</v>
      </c>
      <c r="F61" s="42">
        <f t="shared" si="45"/>
        <v>11.727200000000002</v>
      </c>
      <c r="G61" s="33"/>
      <c r="H61" s="52">
        <f t="shared" ref="H61:H65" si="46">PRODUCT(E61,$H$2)</f>
        <v>16.440000000000001</v>
      </c>
      <c r="I61" s="16"/>
      <c r="J61" s="52">
        <f t="shared" ref="J61:J65" si="47">PRODUCT(E61,$J$2)</f>
        <v>20.604800000000001</v>
      </c>
      <c r="K61" s="33"/>
      <c r="L61" s="60"/>
      <c r="M61" s="3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x14ac:dyDescent="0.25">
      <c r="A62" s="14"/>
      <c r="B62" s="87" t="s">
        <v>572</v>
      </c>
      <c r="C62" s="26"/>
      <c r="D62" s="26"/>
      <c r="E62" s="52">
        <v>13.08</v>
      </c>
      <c r="F62" s="42">
        <f t="shared" si="45"/>
        <v>13.995600000000001</v>
      </c>
      <c r="G62" s="33"/>
      <c r="H62" s="52">
        <f t="shared" si="46"/>
        <v>19.62</v>
      </c>
      <c r="I62" s="16"/>
      <c r="J62" s="52">
        <f t="shared" si="47"/>
        <v>24.590399999999999</v>
      </c>
      <c r="K62" s="33"/>
      <c r="L62" s="60"/>
      <c r="M62" s="3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x14ac:dyDescent="0.25">
      <c r="A63" s="14"/>
      <c r="B63" s="87" t="s">
        <v>574</v>
      </c>
      <c r="C63" s="26"/>
      <c r="D63" s="26"/>
      <c r="E63" s="52">
        <v>20.46</v>
      </c>
      <c r="F63" s="42">
        <f t="shared" si="45"/>
        <v>21.892200000000003</v>
      </c>
      <c r="G63" s="33"/>
      <c r="H63" s="52">
        <f t="shared" si="46"/>
        <v>30.69</v>
      </c>
      <c r="I63" s="16"/>
      <c r="J63" s="52">
        <f t="shared" si="47"/>
        <v>38.464799999999997</v>
      </c>
      <c r="K63" s="33"/>
      <c r="L63" s="60"/>
      <c r="M63" s="3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x14ac:dyDescent="0.25">
      <c r="A64" s="14"/>
      <c r="B64" s="87" t="s">
        <v>575</v>
      </c>
      <c r="C64" s="26"/>
      <c r="D64" s="26"/>
      <c r="E64" s="52">
        <v>24.74</v>
      </c>
      <c r="F64" s="42">
        <f t="shared" si="45"/>
        <v>26.471799999999998</v>
      </c>
      <c r="G64" s="33"/>
      <c r="H64" s="52">
        <f t="shared" si="46"/>
        <v>37.11</v>
      </c>
      <c r="I64" s="16"/>
      <c r="J64" s="52">
        <f t="shared" si="47"/>
        <v>46.511199999999995</v>
      </c>
      <c r="K64" s="33"/>
      <c r="L64" s="60"/>
      <c r="M64" s="3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5.75" thickBot="1" x14ac:dyDescent="0.3">
      <c r="A65" s="35"/>
      <c r="B65" s="88" t="s">
        <v>576</v>
      </c>
      <c r="C65" s="36"/>
      <c r="D65" s="36"/>
      <c r="E65" s="53">
        <v>25.91</v>
      </c>
      <c r="F65" s="42">
        <f t="shared" si="45"/>
        <v>27.723700000000001</v>
      </c>
      <c r="G65" s="37"/>
      <c r="H65" s="53">
        <f t="shared" si="46"/>
        <v>38.865000000000002</v>
      </c>
      <c r="I65" s="38"/>
      <c r="J65" s="53">
        <f t="shared" si="47"/>
        <v>48.710799999999999</v>
      </c>
      <c r="K65" s="37"/>
      <c r="L65" s="53"/>
      <c r="M65" s="37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27" x14ac:dyDescent="0.25">
      <c r="E66" s="54"/>
      <c r="F66" s="54"/>
      <c r="G66" s="12"/>
      <c r="H66" s="58"/>
      <c r="I66" s="13"/>
      <c r="J66" s="58"/>
      <c r="K66" s="13"/>
      <c r="L66" s="58"/>
      <c r="M66" s="13"/>
    </row>
    <row r="67" spans="1:27" x14ac:dyDescent="0.25">
      <c r="E67" s="54"/>
      <c r="F67" s="54"/>
      <c r="G67" s="12"/>
      <c r="H67" s="58"/>
      <c r="I67" s="13"/>
      <c r="J67" s="58"/>
      <c r="K67" s="13"/>
      <c r="L67" s="58"/>
      <c r="M67" s="13"/>
    </row>
  </sheetData>
  <mergeCells count="1">
    <mergeCell ref="C3:D3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Kit Quote</vt:lpstr>
      <vt:lpstr>Bed Quote</vt:lpstr>
      <vt:lpstr>Kitchen</vt:lpstr>
      <vt:lpstr>Bedroom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Ayaan Shaikh</cp:lastModifiedBy>
  <dcterms:created xsi:type="dcterms:W3CDTF">2016-09-30T08:48:34Z</dcterms:created>
  <dcterms:modified xsi:type="dcterms:W3CDTF">2026-05-14T17:05:29Z</dcterms:modified>
</cp:coreProperties>
</file>