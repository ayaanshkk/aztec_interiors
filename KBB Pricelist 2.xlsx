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ropbox\Aztec shared\Quote related\current\5 - Costings\"/>
    </mc:Choice>
  </mc:AlternateContent>
  <xr:revisionPtr revIDLastSave="0" documentId="13_ncr:1_{44AEB5B9-BAD6-4544-8426-FD184036DA71}" xr6:coauthVersionLast="47" xr6:coauthVersionMax="47" xr10:uidLastSave="{00000000-0000-0000-0000-000000000000}"/>
  <bookViews>
    <workbookView xWindow="1416" yWindow="444" windowWidth="20580" windowHeight="10860" xr2:uid="{00000000-000D-0000-FFFF-FFFF00000000}"/>
  </bookViews>
  <sheets>
    <sheet name="Kitchen" sheetId="1" r:id="rId1"/>
    <sheet name="Bedroom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F4" i="1"/>
  <c r="D91" i="1"/>
  <c r="G50" i="1"/>
  <c r="G49" i="1"/>
  <c r="G46" i="1"/>
  <c r="G45" i="1"/>
  <c r="G44" i="1"/>
  <c r="G38" i="1"/>
  <c r="G39" i="1"/>
  <c r="G37" i="1"/>
  <c r="G36" i="1"/>
  <c r="G35" i="1"/>
  <c r="G34" i="1"/>
  <c r="G33" i="1"/>
  <c r="D37" i="1"/>
  <c r="G26" i="1"/>
  <c r="G25" i="1"/>
  <c r="G24" i="1"/>
  <c r="G23" i="1"/>
  <c r="G22" i="1"/>
  <c r="G21" i="1"/>
  <c r="G20" i="1"/>
  <c r="G19" i="1"/>
  <c r="G18" i="1"/>
  <c r="G5" i="1"/>
  <c r="G6" i="1"/>
  <c r="G7" i="1"/>
  <c r="G8" i="1"/>
  <c r="G9" i="1"/>
  <c r="G10" i="1"/>
  <c r="G11" i="1"/>
  <c r="G12" i="1"/>
  <c r="G13" i="1"/>
  <c r="G4" i="1"/>
  <c r="G5" i="2"/>
  <c r="F50" i="2"/>
  <c r="F49" i="2"/>
  <c r="F48" i="2"/>
  <c r="F47" i="2"/>
  <c r="F46" i="2"/>
  <c r="L18" i="2"/>
  <c r="L16" i="2"/>
  <c r="L15" i="2"/>
  <c r="L14" i="2"/>
  <c r="L13" i="2"/>
  <c r="L10" i="2"/>
  <c r="L9" i="2"/>
  <c r="L8" i="2"/>
  <c r="L7" i="2"/>
  <c r="L6" i="2"/>
  <c r="L5" i="2"/>
  <c r="J64" i="2"/>
  <c r="J63" i="2"/>
  <c r="J62" i="2"/>
  <c r="J61" i="2"/>
  <c r="J60" i="2"/>
  <c r="J57" i="2"/>
  <c r="J56" i="2"/>
  <c r="J55" i="2"/>
  <c r="J54" i="2"/>
  <c r="J53" i="2"/>
  <c r="J50" i="2"/>
  <c r="J49" i="2"/>
  <c r="J48" i="2"/>
  <c r="J47" i="2"/>
  <c r="J46" i="2"/>
  <c r="J44" i="2"/>
  <c r="J43" i="2"/>
  <c r="J42" i="2"/>
  <c r="J41" i="2"/>
  <c r="J40" i="2"/>
  <c r="J39" i="2"/>
  <c r="J36" i="2"/>
  <c r="J35" i="2"/>
  <c r="J34" i="2"/>
  <c r="J33" i="2"/>
  <c r="J32" i="2"/>
  <c r="J18" i="2"/>
  <c r="J16" i="2"/>
  <c r="J15" i="2"/>
  <c r="J14" i="2"/>
  <c r="J13" i="2"/>
  <c r="J6" i="2"/>
  <c r="J7" i="2"/>
  <c r="J8" i="2"/>
  <c r="J9" i="2"/>
  <c r="J10" i="2"/>
  <c r="J5" i="2"/>
  <c r="H13" i="2"/>
  <c r="H14" i="2"/>
  <c r="H15" i="2"/>
  <c r="H16" i="2"/>
  <c r="H18" i="2"/>
  <c r="H32" i="2"/>
  <c r="H33" i="2"/>
  <c r="H34" i="2"/>
  <c r="H35" i="2"/>
  <c r="H36" i="2"/>
  <c r="H39" i="2"/>
  <c r="H40" i="2"/>
  <c r="H41" i="2"/>
  <c r="H42" i="2"/>
  <c r="H43" i="2"/>
  <c r="H44" i="2"/>
  <c r="H46" i="2"/>
  <c r="H47" i="2"/>
  <c r="H48" i="2"/>
  <c r="H49" i="2"/>
  <c r="H50" i="2"/>
  <c r="H53" i="2"/>
  <c r="H54" i="2"/>
  <c r="H55" i="2"/>
  <c r="H56" i="2"/>
  <c r="H57" i="2"/>
  <c r="H60" i="2"/>
  <c r="H61" i="2"/>
  <c r="H62" i="2"/>
  <c r="H63" i="2"/>
  <c r="H64" i="2"/>
  <c r="H6" i="2"/>
  <c r="H7" i="2"/>
  <c r="H8" i="2"/>
  <c r="H9" i="2"/>
  <c r="H10" i="2"/>
  <c r="H5" i="2"/>
  <c r="F64" i="2"/>
  <c r="F63" i="2"/>
  <c r="F62" i="2"/>
  <c r="F61" i="2"/>
  <c r="F60" i="2"/>
  <c r="F57" i="2"/>
  <c r="F56" i="2"/>
  <c r="F55" i="2"/>
  <c r="F54" i="2"/>
  <c r="F53" i="2"/>
  <c r="F44" i="2"/>
  <c r="F43" i="2"/>
  <c r="F42" i="2"/>
  <c r="F41" i="2"/>
  <c r="F40" i="2"/>
  <c r="F39" i="2"/>
  <c r="F36" i="2"/>
  <c r="F35" i="2"/>
  <c r="F34" i="2"/>
  <c r="F33" i="2"/>
  <c r="F32" i="2"/>
  <c r="F18" i="2"/>
  <c r="F16" i="2"/>
  <c r="F15" i="2"/>
  <c r="F14" i="2"/>
  <c r="F13" i="2"/>
  <c r="F6" i="2"/>
  <c r="F7" i="2"/>
  <c r="F8" i="2"/>
  <c r="F9" i="2"/>
  <c r="F10" i="2"/>
  <c r="F5" i="2"/>
  <c r="I79" i="2"/>
  <c r="I78" i="2"/>
  <c r="I77" i="2"/>
  <c r="I76" i="2"/>
  <c r="I75" i="2"/>
  <c r="I74" i="2"/>
  <c r="I72" i="2"/>
  <c r="I71" i="2"/>
  <c r="I70" i="2"/>
  <c r="I69" i="2"/>
  <c r="I68" i="2"/>
  <c r="I67" i="2"/>
  <c r="G79" i="2"/>
  <c r="G72" i="2"/>
  <c r="G71" i="2"/>
  <c r="G70" i="2"/>
  <c r="G69" i="2"/>
  <c r="G68" i="2"/>
  <c r="G67" i="2"/>
  <c r="G78" i="2"/>
  <c r="G77" i="2"/>
  <c r="G76" i="2"/>
  <c r="G75" i="2"/>
  <c r="G74" i="2"/>
  <c r="I57" i="2"/>
  <c r="I56" i="2"/>
  <c r="I55" i="2"/>
  <c r="I54" i="2"/>
  <c r="I53" i="2"/>
  <c r="I64" i="2"/>
  <c r="I63" i="2"/>
  <c r="I62" i="2"/>
  <c r="I61" i="2"/>
  <c r="I60" i="2"/>
  <c r="I50" i="2"/>
  <c r="I49" i="2"/>
  <c r="I48" i="2"/>
  <c r="I47" i="2"/>
  <c r="I46" i="2"/>
  <c r="I44" i="2"/>
  <c r="I43" i="2"/>
  <c r="I42" i="2"/>
  <c r="I41" i="2"/>
  <c r="I40" i="2"/>
  <c r="I39" i="2"/>
  <c r="I36" i="2"/>
  <c r="I35" i="2"/>
  <c r="I34" i="2"/>
  <c r="I33" i="2"/>
  <c r="I32" i="2"/>
  <c r="I18" i="2"/>
  <c r="I16" i="2"/>
  <c r="I15" i="2"/>
  <c r="I14" i="2"/>
  <c r="I13" i="2"/>
  <c r="I6" i="2"/>
  <c r="I7" i="2"/>
  <c r="I8" i="2"/>
  <c r="I9" i="2"/>
  <c r="I10" i="2"/>
  <c r="I5" i="2"/>
  <c r="G64" i="2"/>
  <c r="G63" i="2"/>
  <c r="G62" i="2"/>
  <c r="G61" i="2"/>
  <c r="G60" i="2"/>
  <c r="G57" i="2"/>
  <c r="G56" i="2"/>
  <c r="G55" i="2"/>
  <c r="G54" i="2"/>
  <c r="G53" i="2"/>
  <c r="G50" i="2"/>
  <c r="G49" i="2"/>
  <c r="G48" i="2"/>
  <c r="G47" i="2"/>
  <c r="G46" i="2"/>
  <c r="G44" i="2"/>
  <c r="G43" i="2"/>
  <c r="G42" i="2"/>
  <c r="G41" i="2"/>
  <c r="G40" i="2"/>
  <c r="G39" i="2"/>
  <c r="G36" i="2"/>
  <c r="G35" i="2"/>
  <c r="G34" i="2"/>
  <c r="G33" i="2"/>
  <c r="G32" i="2"/>
  <c r="G18" i="2"/>
  <c r="G16" i="2"/>
  <c r="G15" i="2"/>
  <c r="G14" i="2"/>
  <c r="G13" i="2"/>
  <c r="G10" i="2"/>
  <c r="G9" i="2"/>
  <c r="G8" i="2"/>
  <c r="G7" i="2"/>
  <c r="G6" i="2"/>
  <c r="D64" i="2"/>
  <c r="D63" i="2"/>
  <c r="D62" i="2"/>
  <c r="D61" i="2"/>
  <c r="D60" i="2"/>
  <c r="D57" i="2"/>
  <c r="D56" i="2"/>
  <c r="D55" i="2"/>
  <c r="D54" i="2"/>
  <c r="D53" i="2"/>
  <c r="D49" i="2"/>
  <c r="D48" i="2"/>
  <c r="D47" i="2"/>
  <c r="D46" i="2"/>
  <c r="D44" i="2"/>
  <c r="D43" i="2"/>
  <c r="D42" i="2"/>
  <c r="D41" i="2"/>
  <c r="D40" i="2"/>
  <c r="D39" i="2"/>
  <c r="D36" i="2"/>
  <c r="D35" i="2"/>
  <c r="D34" i="2"/>
  <c r="D33" i="2"/>
  <c r="D32" i="2"/>
  <c r="D30" i="2"/>
  <c r="D28" i="2"/>
  <c r="D27" i="2"/>
  <c r="D26" i="2"/>
  <c r="D23" i="2"/>
  <c r="D22" i="2"/>
  <c r="D21" i="2"/>
  <c r="D18" i="2"/>
  <c r="D16" i="2"/>
  <c r="D15" i="2"/>
  <c r="D14" i="2"/>
  <c r="D13" i="2"/>
  <c r="D7" i="2"/>
  <c r="D8" i="2"/>
  <c r="D9" i="2"/>
  <c r="D10" i="2"/>
  <c r="D6" i="2"/>
  <c r="D5" i="2"/>
  <c r="D11" i="1"/>
  <c r="D297" i="1"/>
  <c r="D296" i="1"/>
  <c r="D295" i="1"/>
  <c r="D294" i="1"/>
  <c r="D291" i="1"/>
  <c r="D290" i="1"/>
  <c r="D289" i="1"/>
  <c r="D288" i="1"/>
  <c r="D287" i="1"/>
  <c r="D286" i="1"/>
  <c r="D282" i="1"/>
  <c r="D281" i="1"/>
  <c r="D280" i="1"/>
  <c r="D279" i="1"/>
  <c r="D278" i="1"/>
  <c r="D276" i="1"/>
  <c r="D275" i="1"/>
  <c r="D274" i="1"/>
  <c r="D273" i="1"/>
  <c r="D272" i="1"/>
  <c r="D271" i="1"/>
  <c r="D270" i="1"/>
  <c r="D269" i="1"/>
  <c r="D268" i="1"/>
  <c r="D265" i="1"/>
  <c r="D264" i="1"/>
  <c r="D263" i="1"/>
  <c r="D262" i="1"/>
  <c r="D261" i="1"/>
  <c r="D257" i="1"/>
  <c r="D256" i="1"/>
  <c r="D255" i="1"/>
  <c r="D254" i="1"/>
  <c r="D253" i="1"/>
  <c r="D249" i="1"/>
  <c r="D248" i="1"/>
  <c r="D247" i="1"/>
  <c r="D246" i="1"/>
  <c r="D245" i="1"/>
  <c r="D242" i="1"/>
  <c r="D241" i="1"/>
  <c r="D236" i="1"/>
  <c r="D235" i="1"/>
  <c r="D234" i="1"/>
  <c r="D233" i="1"/>
  <c r="D231" i="1"/>
  <c r="D230" i="1"/>
  <c r="D228" i="1"/>
  <c r="D227" i="1"/>
  <c r="D226" i="1"/>
  <c r="D225" i="1"/>
  <c r="D224" i="1"/>
  <c r="D222" i="1"/>
  <c r="D221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199" i="1"/>
  <c r="D198" i="1"/>
  <c r="D197" i="1"/>
  <c r="D196" i="1"/>
  <c r="D193" i="1"/>
  <c r="D192" i="1"/>
  <c r="D189" i="1"/>
  <c r="D188" i="1"/>
  <c r="D187" i="1"/>
  <c r="D186" i="1"/>
  <c r="D182" i="1"/>
  <c r="D181" i="1"/>
  <c r="D180" i="1"/>
  <c r="D179" i="1"/>
  <c r="D178" i="1"/>
  <c r="D177" i="1"/>
  <c r="D176" i="1"/>
  <c r="D175" i="1"/>
  <c r="D174" i="1"/>
  <c r="D172" i="1"/>
  <c r="D171" i="1"/>
  <c r="D170" i="1"/>
  <c r="D168" i="1"/>
  <c r="D167" i="1"/>
  <c r="D165" i="1"/>
  <c r="D164" i="1"/>
  <c r="D163" i="1"/>
  <c r="D162" i="1"/>
  <c r="D161" i="1"/>
  <c r="D160" i="1"/>
  <c r="D159" i="1"/>
  <c r="D158" i="1"/>
  <c r="D157" i="1"/>
  <c r="D153" i="1"/>
  <c r="D152" i="1"/>
  <c r="D151" i="1"/>
  <c r="D150" i="1"/>
  <c r="D149" i="1"/>
  <c r="D148" i="1"/>
  <c r="D147" i="1"/>
  <c r="D146" i="1"/>
  <c r="D145" i="1"/>
  <c r="D143" i="1"/>
  <c r="D142" i="1"/>
  <c r="D140" i="1"/>
  <c r="D139" i="1"/>
  <c r="D137" i="1"/>
  <c r="D136" i="1"/>
  <c r="D134" i="1"/>
  <c r="D133" i="1"/>
  <c r="D132" i="1"/>
  <c r="D131" i="1"/>
  <c r="D130" i="1"/>
  <c r="D128" i="1"/>
  <c r="D127" i="1"/>
  <c r="D126" i="1"/>
  <c r="D125" i="1"/>
  <c r="D124" i="1"/>
  <c r="D120" i="1"/>
  <c r="D119" i="1"/>
  <c r="D117" i="1"/>
  <c r="D116" i="1"/>
  <c r="D115" i="1"/>
  <c r="D113" i="1"/>
  <c r="D112" i="1"/>
  <c r="D111" i="1"/>
  <c r="D109" i="1"/>
  <c r="D108" i="1"/>
  <c r="D107" i="1"/>
  <c r="D105" i="1"/>
  <c r="D104" i="1"/>
  <c r="D103" i="1"/>
  <c r="D99" i="1"/>
  <c r="D97" i="1"/>
  <c r="D95" i="1"/>
  <c r="D94" i="1"/>
  <c r="D92" i="1"/>
  <c r="D75" i="1"/>
  <c r="D74" i="1"/>
  <c r="D72" i="1"/>
  <c r="D71" i="1"/>
  <c r="D69" i="1"/>
  <c r="D68" i="1"/>
  <c r="D67" i="1"/>
  <c r="D66" i="1"/>
  <c r="D65" i="1"/>
  <c r="D58" i="1"/>
  <c r="D57" i="1"/>
  <c r="D56" i="1"/>
  <c r="D55" i="1"/>
  <c r="D54" i="1"/>
  <c r="D53" i="1"/>
  <c r="D44" i="1"/>
  <c r="D46" i="1"/>
  <c r="D45" i="1"/>
  <c r="D50" i="1"/>
  <c r="D49" i="1"/>
  <c r="D39" i="1"/>
  <c r="D38" i="1"/>
  <c r="D36" i="1"/>
  <c r="D35" i="1"/>
  <c r="D34" i="1"/>
  <c r="D33" i="1"/>
  <c r="D26" i="1"/>
  <c r="D25" i="1"/>
  <c r="D24" i="1"/>
  <c r="D23" i="1"/>
  <c r="D22" i="1"/>
  <c r="D21" i="1"/>
  <c r="D20" i="1"/>
  <c r="D19" i="1"/>
  <c r="D18" i="1"/>
  <c r="D5" i="1"/>
  <c r="D6" i="1"/>
  <c r="D7" i="1"/>
  <c r="D8" i="1"/>
  <c r="D9" i="1"/>
  <c r="D10" i="1"/>
  <c r="D12" i="1"/>
  <c r="D13" i="1"/>
  <c r="D4" i="1"/>
</calcChain>
</file>

<file path=xl/sharedStrings.xml><?xml version="1.0" encoding="utf-8"?>
<sst xmlns="http://schemas.openxmlformats.org/spreadsheetml/2006/main" count="1164" uniqueCount="625">
  <si>
    <t>Price</t>
  </si>
  <si>
    <t>30B</t>
  </si>
  <si>
    <t>Base Unit 300mm wide</t>
  </si>
  <si>
    <t>40B</t>
  </si>
  <si>
    <t>Base Unit 400mm wide</t>
  </si>
  <si>
    <t>45B</t>
  </si>
  <si>
    <t>Base Unit 450mm wide</t>
  </si>
  <si>
    <t>50B</t>
  </si>
  <si>
    <t>Base Unit 500mm wide</t>
  </si>
  <si>
    <t>60B</t>
  </si>
  <si>
    <t>Base Unit 600mm wide</t>
  </si>
  <si>
    <t>80B</t>
  </si>
  <si>
    <t>Base Unit 800mm wide</t>
  </si>
  <si>
    <t>90B</t>
  </si>
  <si>
    <t>Base Unit 900mm wide</t>
  </si>
  <si>
    <t>100B</t>
  </si>
  <si>
    <t>Base Unit 1000mm wide</t>
  </si>
  <si>
    <t>120B</t>
  </si>
  <si>
    <t>Base Unit 1200mm wide</t>
  </si>
  <si>
    <t>standard height 720mm including 5mm for legs</t>
  </si>
  <si>
    <t>and 560mm deep</t>
  </si>
  <si>
    <t>60fid</t>
  </si>
  <si>
    <t>F/I appliance door 715 x 595</t>
  </si>
  <si>
    <t>30BDL</t>
  </si>
  <si>
    <t>Drawerline base unit 300mm wide</t>
  </si>
  <si>
    <t>40BDL</t>
  </si>
  <si>
    <t>Drawerline base unit 400mm wide</t>
  </si>
  <si>
    <t>45BDL</t>
  </si>
  <si>
    <t>Drawerline base unit 450mm wide</t>
  </si>
  <si>
    <t>50BDL</t>
  </si>
  <si>
    <t>Drawerline base unit 500mm wide</t>
  </si>
  <si>
    <t>60BDL</t>
  </si>
  <si>
    <t>Drawerline base unit 600mm wide</t>
  </si>
  <si>
    <t>80BDL</t>
  </si>
  <si>
    <t>Drawerline base unit 800mm wide</t>
  </si>
  <si>
    <t>90BDL</t>
  </si>
  <si>
    <t>Drawerline base unit 900mm wide</t>
  </si>
  <si>
    <t>100BDL</t>
  </si>
  <si>
    <t>Drawerline base unit 1000mm wide</t>
  </si>
  <si>
    <t>120BDL</t>
  </si>
  <si>
    <t>Drawerline base unit 1200mm wide</t>
  </si>
  <si>
    <t xml:space="preserve">drawer door price added with soft close mechanism </t>
  </si>
  <si>
    <t>800mm onwards requires 2 draws</t>
  </si>
  <si>
    <t>90BC</t>
  </si>
  <si>
    <t>95BC</t>
  </si>
  <si>
    <t>100BC</t>
  </si>
  <si>
    <t>110BC</t>
  </si>
  <si>
    <t>90BLC</t>
  </si>
  <si>
    <t>90BDC</t>
  </si>
  <si>
    <t>30BA</t>
  </si>
  <si>
    <t xml:space="preserve">Angled base (300mm door) 275mm </t>
  </si>
  <si>
    <t>40BA</t>
  </si>
  <si>
    <t xml:space="preserve">Angled base (400mm door) 365mm </t>
  </si>
  <si>
    <t>50BDD</t>
  </si>
  <si>
    <t>60BDD</t>
  </si>
  <si>
    <t>80BDD</t>
  </si>
  <si>
    <t>90BDD</t>
  </si>
  <si>
    <t>100BDD</t>
  </si>
  <si>
    <t>120BDD</t>
  </si>
  <si>
    <t>Code</t>
  </si>
  <si>
    <t>504DRW</t>
  </si>
  <si>
    <t>Drawers 4 x 175 = 500mm wide</t>
  </si>
  <si>
    <t>604DRW</t>
  </si>
  <si>
    <t>Drawers 4 x 175 = 600mm wide</t>
  </si>
  <si>
    <t>305DRW</t>
  </si>
  <si>
    <t>405DRW</t>
  </si>
  <si>
    <t>Drawers 5 x 140 400mm wide</t>
  </si>
  <si>
    <t>455DRW</t>
  </si>
  <si>
    <t>Drawers 5 x 140 450mm wide</t>
  </si>
  <si>
    <t>505DRW</t>
  </si>
  <si>
    <t>Drawers 5 x 140 500mm wide</t>
  </si>
  <si>
    <t>605DRW</t>
  </si>
  <si>
    <t>Drawers 5 x 140 600mm wide</t>
  </si>
  <si>
    <t>5021DRW</t>
  </si>
  <si>
    <t>Drawers 2 x 175 + 1 x 355 = 500mm wide</t>
  </si>
  <si>
    <t>6021DRW</t>
  </si>
  <si>
    <t>Drawers 2 x 175 + 1 x 355 = 600mm wide</t>
  </si>
  <si>
    <t>5031DRW</t>
  </si>
  <si>
    <t>Drawers 3 x 140 + 1 x 283 = 500mm wide</t>
  </si>
  <si>
    <t>6031DRW</t>
  </si>
  <si>
    <t>Drawers 3 x 140 + 1 x 283 =  600mm wide</t>
  </si>
  <si>
    <t>503DRW</t>
  </si>
  <si>
    <t>Drawers 1 x 140 + 2 x 283 = 500mm wide</t>
  </si>
  <si>
    <t>603DRW</t>
  </si>
  <si>
    <t>Drawers 1 x 140 + 2 x 283 = 600mm wide</t>
  </si>
  <si>
    <t>803DRW</t>
  </si>
  <si>
    <t>Drawers 1 x 140 + 2 x 283 = 800mm wide</t>
  </si>
  <si>
    <t>1003DRW</t>
  </si>
  <si>
    <t>Drawers 1 x 140 + 2 x 283 = 1000mm wide</t>
  </si>
  <si>
    <t>302DRW</t>
  </si>
  <si>
    <t>Drawers 2 x 355 = 300mm wide</t>
  </si>
  <si>
    <t>502DRW</t>
  </si>
  <si>
    <t>Drawers 2 x 355 = 500mm wide</t>
  </si>
  <si>
    <t>602DRW</t>
  </si>
  <si>
    <t>Drawers 2 x 355 = 600mm wide</t>
  </si>
  <si>
    <t>802DRW</t>
  </si>
  <si>
    <t>Drawers 2 x 355 = 800mm wide</t>
  </si>
  <si>
    <t>1002DRW</t>
  </si>
  <si>
    <t>Drawers 2 x 355 = 1000mm wide</t>
  </si>
  <si>
    <t xml:space="preserve">additional drawer prices added with soft close mechanism </t>
  </si>
  <si>
    <t>60SHSE</t>
  </si>
  <si>
    <t>Under Oven Housing 600mm wide</t>
  </si>
  <si>
    <t>90SHSE</t>
  </si>
  <si>
    <t>Under Oven Housing 900mm wide</t>
  </si>
  <si>
    <t>60SHSED</t>
  </si>
  <si>
    <t>Under Oven Housing with Drawer 600mm wide</t>
  </si>
  <si>
    <t>90SHSED</t>
  </si>
  <si>
    <t>Under Oven Housing with Drawer 900mm wide</t>
  </si>
  <si>
    <t>60MHSE</t>
  </si>
  <si>
    <t>Under Micro Housing 600mm wide</t>
  </si>
  <si>
    <t>Under Micro Housing with Drawer 900mm wide</t>
  </si>
  <si>
    <t>standard height 715mm plus 5mm legs</t>
  </si>
  <si>
    <t>LM60SO</t>
  </si>
  <si>
    <t>medium (1970mm high) single oven housing 600mm wide</t>
  </si>
  <si>
    <t>LM60DO</t>
  </si>
  <si>
    <t>medium (1970mm high) Double oven housing 600mm wide</t>
  </si>
  <si>
    <t>LM60SM</t>
  </si>
  <si>
    <t>medium (1970mm high) oven &amp; micro housing 600mm wide</t>
  </si>
  <si>
    <t>LT60SO</t>
  </si>
  <si>
    <t>tall (2150mm high) single oven housing 600mm wide</t>
  </si>
  <si>
    <t>LT60DO</t>
  </si>
  <si>
    <t>tall (2150mm high) double oven housing 600mm wide</t>
  </si>
  <si>
    <t>LT60SM</t>
  </si>
  <si>
    <t>tall (2150mm high) oven &amp; micro housing 600mm wide</t>
  </si>
  <si>
    <t>Lm60ff</t>
  </si>
  <si>
    <t>medium fridge freezer housing (1970 high) 600mm wide</t>
  </si>
  <si>
    <t>LT60FF</t>
  </si>
  <si>
    <t>tall fridge freezer housing (2150 high) 600mm wide</t>
  </si>
  <si>
    <t>Medium (1970mm high) larder with 4 shelves 300mm wide</t>
  </si>
  <si>
    <t>Medium (1970mm high) larder with 4 shelves 400mm wide</t>
  </si>
  <si>
    <t>Medium (1970mm high) larder with 4 shelves 450mm wide</t>
  </si>
  <si>
    <t>Medium (1970mm high) larder with 4 shelves 500mm wide</t>
  </si>
  <si>
    <t>Medium (1970mm high) larder with 4 shelves 600mm wide</t>
  </si>
  <si>
    <t>Tall (2150mm high) larder with 4 shelves 300mm wide</t>
  </si>
  <si>
    <t>Tall (2150mm high) larder with 4 shelves 400mm wide</t>
  </si>
  <si>
    <t>Tall (2150mm high) larder with 4 shelves 450mm wide</t>
  </si>
  <si>
    <t>Tall (2150mm high) larder with 4 shelves 500mm wide</t>
  </si>
  <si>
    <t>Tall (2150mm high) larder with 4 shelves 600mm wide</t>
  </si>
  <si>
    <t>30WS</t>
  </si>
  <si>
    <t>Standard Wall Unit 300mm wide</t>
  </si>
  <si>
    <t>40WS</t>
  </si>
  <si>
    <t>Standard Wall Unit 400mm wide</t>
  </si>
  <si>
    <t>45WS</t>
  </si>
  <si>
    <t>Standard Wall Unit 450mm wide</t>
  </si>
  <si>
    <t>50WS</t>
  </si>
  <si>
    <t>Standard Wall Unit 500mm wide</t>
  </si>
  <si>
    <t>60WS</t>
  </si>
  <si>
    <t>Standard Wall Unit 600mm wide</t>
  </si>
  <si>
    <t>80WS</t>
  </si>
  <si>
    <t>Standard Wall Unit 800mm wide</t>
  </si>
  <si>
    <t>100WS</t>
  </si>
  <si>
    <t>Standard Wall Unit 1000mm wide</t>
  </si>
  <si>
    <t>120WS</t>
  </si>
  <si>
    <t>Standard Wall Unit 1200mm wide</t>
  </si>
  <si>
    <t>Standard height 570mm and 300mm deep</t>
  </si>
  <si>
    <t>30W</t>
  </si>
  <si>
    <t>Medium Wall Unit 300mm wide</t>
  </si>
  <si>
    <t>40W</t>
  </si>
  <si>
    <t>Medium Wall Unit 400mm wide</t>
  </si>
  <si>
    <t>45W</t>
  </si>
  <si>
    <t>Medium Wall Unit 450mm wide</t>
  </si>
  <si>
    <t>50W</t>
  </si>
  <si>
    <t>Medium Wall Unit 500mm wide</t>
  </si>
  <si>
    <t>60W</t>
  </si>
  <si>
    <t>Medium Wall Unit 600mm wide</t>
  </si>
  <si>
    <t>80W</t>
  </si>
  <si>
    <t>Medium Wall Unit 800mm wide</t>
  </si>
  <si>
    <t>100W</t>
  </si>
  <si>
    <t>Medium Wall Unit 1000mm wide</t>
  </si>
  <si>
    <t>120W</t>
  </si>
  <si>
    <t>Medium Wall Unit 1200mm wide</t>
  </si>
  <si>
    <t>Standard height 720mm and 300mm deep</t>
  </si>
  <si>
    <t>50WA</t>
  </si>
  <si>
    <t>Medium Angle Wall Unit 500mm wide</t>
  </si>
  <si>
    <t>30WT</t>
  </si>
  <si>
    <t>Tall Wall Unit 300mm wide</t>
  </si>
  <si>
    <t>40WT</t>
  </si>
  <si>
    <t>Tall Wall Unit 400mm wide</t>
  </si>
  <si>
    <t>45WT</t>
  </si>
  <si>
    <t>Tall Wall Unit 450mm wide</t>
  </si>
  <si>
    <t>50WT</t>
  </si>
  <si>
    <t>Tall Wall Unit 500mm wide</t>
  </si>
  <si>
    <t>60WT</t>
  </si>
  <si>
    <t>Tall Wall Unit 600mm wide</t>
  </si>
  <si>
    <t>80WT</t>
  </si>
  <si>
    <t>Tall Wall Unit 800mm wide</t>
  </si>
  <si>
    <t>100WT</t>
  </si>
  <si>
    <t>Tall Wall Unit 1000mm wide</t>
  </si>
  <si>
    <t>120WT</t>
  </si>
  <si>
    <t>Tall Wall Unit 1200mm wide</t>
  </si>
  <si>
    <t>Standard height 900mm and 300mm deep</t>
  </si>
  <si>
    <t>60WC</t>
  </si>
  <si>
    <t>70WC</t>
  </si>
  <si>
    <t>80WC</t>
  </si>
  <si>
    <t>90WC</t>
  </si>
  <si>
    <t>standard height 570mm of all wall corner units</t>
  </si>
  <si>
    <t>60WDC</t>
  </si>
  <si>
    <t>60WLC</t>
  </si>
  <si>
    <t>BSH1</t>
  </si>
  <si>
    <t>Base Unit Shelf 300 - 600mm wide</t>
  </si>
  <si>
    <t>BSH2</t>
  </si>
  <si>
    <t>Base Unit Shelf 800 - 1200mm wide</t>
  </si>
  <si>
    <t>WSH1</t>
  </si>
  <si>
    <t>Wall Unit Shelf 300 - 600mm wide</t>
  </si>
  <si>
    <t>WSH2</t>
  </si>
  <si>
    <t>Wall Unit Shelf 800 - 1200mm wide</t>
  </si>
  <si>
    <t>BEP</t>
  </si>
  <si>
    <r>
      <t xml:space="preserve">Base end support panel </t>
    </r>
    <r>
      <rPr>
        <b/>
        <sz val="10"/>
        <color theme="1"/>
        <rFont val="Arial"/>
        <family val="2"/>
      </rPr>
      <t>(900mm high)</t>
    </r>
    <r>
      <rPr>
        <sz val="10"/>
        <color theme="1"/>
        <rFont val="Calibri"/>
        <family val="2"/>
        <scheme val="minor"/>
      </rPr>
      <t xml:space="preserve">  - 600mm wide</t>
    </r>
  </si>
  <si>
    <t>SMEP</t>
  </si>
  <si>
    <r>
      <t xml:space="preserve">Standard Larder end panel </t>
    </r>
    <r>
      <rPr>
        <b/>
        <sz val="10"/>
        <color theme="1"/>
        <rFont val="Arial"/>
        <family val="2"/>
      </rPr>
      <t>(2000mm high)</t>
    </r>
    <r>
      <rPr>
        <sz val="10"/>
        <color theme="1"/>
        <rFont val="Calibri"/>
        <family val="2"/>
        <scheme val="minor"/>
      </rPr>
      <t xml:space="preserve"> x 600mm wide</t>
    </r>
  </si>
  <si>
    <t>LMEP</t>
  </si>
  <si>
    <r>
      <t xml:space="preserve">Medium Larder end panel </t>
    </r>
    <r>
      <rPr>
        <b/>
        <sz val="10"/>
        <color theme="1"/>
        <rFont val="Arial"/>
        <family val="2"/>
      </rPr>
      <t>(2150mm high)</t>
    </r>
    <r>
      <rPr>
        <sz val="10"/>
        <color theme="1"/>
        <rFont val="Calibri"/>
        <family val="2"/>
        <scheme val="minor"/>
      </rPr>
      <t xml:space="preserve"> x 600mm wide</t>
    </r>
  </si>
  <si>
    <t>LTEP</t>
  </si>
  <si>
    <r>
      <t xml:space="preserve">Tall Larder end panel </t>
    </r>
    <r>
      <rPr>
        <b/>
        <sz val="10"/>
        <color theme="1"/>
        <rFont val="Arial"/>
        <family val="2"/>
      </rPr>
      <t>(2300mm high)</t>
    </r>
    <r>
      <rPr>
        <sz val="10"/>
        <color theme="1"/>
        <rFont val="Calibri"/>
        <family val="2"/>
        <scheme val="minor"/>
      </rPr>
      <t xml:space="preserve"> x 600mm wide</t>
    </r>
  </si>
  <si>
    <t>WSEP</t>
  </si>
  <si>
    <r>
      <t xml:space="preserve">Standard wall end panel </t>
    </r>
    <r>
      <rPr>
        <b/>
        <sz val="10"/>
        <color theme="1"/>
        <rFont val="Arial"/>
        <family val="2"/>
      </rPr>
      <t>(575mm high)</t>
    </r>
    <r>
      <rPr>
        <sz val="10"/>
        <color theme="1"/>
        <rFont val="Calibri"/>
        <family val="2"/>
        <scheme val="minor"/>
      </rPr>
      <t xml:space="preserve"> x 300mm</t>
    </r>
  </si>
  <si>
    <t>WEP</t>
  </si>
  <si>
    <r>
      <t xml:space="preserve">Medium wall end panel </t>
    </r>
    <r>
      <rPr>
        <b/>
        <sz val="10"/>
        <color theme="1"/>
        <rFont val="Arial"/>
        <family val="2"/>
      </rPr>
      <t>(720mm high)</t>
    </r>
    <r>
      <rPr>
        <sz val="10"/>
        <color theme="1"/>
        <rFont val="Calibri"/>
        <family val="2"/>
        <scheme val="minor"/>
      </rPr>
      <t xml:space="preserve"> x 300mm wide</t>
    </r>
  </si>
  <si>
    <t>WTEP</t>
  </si>
  <si>
    <r>
      <t xml:space="preserve">Tall wall end panel </t>
    </r>
    <r>
      <rPr>
        <b/>
        <sz val="10"/>
        <color theme="1"/>
        <rFont val="Arial"/>
        <family val="2"/>
      </rPr>
      <t>(900mm high)</t>
    </r>
    <r>
      <rPr>
        <sz val="10"/>
        <color theme="1"/>
        <rFont val="Calibri"/>
        <family val="2"/>
        <scheme val="minor"/>
      </rPr>
      <t xml:space="preserve"> x 300mm wide</t>
    </r>
  </si>
  <si>
    <t>DTEP</t>
  </si>
  <si>
    <r>
      <t xml:space="preserve">Tall wall end panel </t>
    </r>
    <r>
      <rPr>
        <b/>
        <sz val="10"/>
        <color theme="1"/>
        <rFont val="Arial"/>
        <family val="2"/>
      </rPr>
      <t>(1250mm high)</t>
    </r>
    <r>
      <rPr>
        <sz val="10"/>
        <color theme="1"/>
        <rFont val="Calibri"/>
        <family val="2"/>
        <scheme val="minor"/>
      </rPr>
      <t xml:space="preserve"> x 350mm wide</t>
    </r>
  </si>
  <si>
    <t>WSF</t>
  </si>
  <si>
    <r>
      <t xml:space="preserve">Standard wall filler </t>
    </r>
    <r>
      <rPr>
        <b/>
        <sz val="10"/>
        <color theme="1"/>
        <rFont val="Arial"/>
        <family val="2"/>
      </rPr>
      <t>(575mm high)</t>
    </r>
    <r>
      <rPr>
        <sz val="10"/>
        <color theme="1"/>
        <rFont val="Calibri"/>
        <family val="2"/>
        <scheme val="minor"/>
      </rPr>
      <t xml:space="preserve"> x 100mm wide</t>
    </r>
  </si>
  <si>
    <t>WF</t>
  </si>
  <si>
    <r>
      <t xml:space="preserve">Medium wall filler </t>
    </r>
    <r>
      <rPr>
        <b/>
        <sz val="10"/>
        <color theme="1"/>
        <rFont val="Arial"/>
        <family val="2"/>
      </rPr>
      <t>(720mm high)</t>
    </r>
    <r>
      <rPr>
        <sz val="10"/>
        <color theme="1"/>
        <rFont val="Calibri"/>
        <family val="2"/>
        <scheme val="minor"/>
      </rPr>
      <t xml:space="preserve"> x 100mm wide</t>
    </r>
  </si>
  <si>
    <t>WTF</t>
  </si>
  <si>
    <r>
      <t>Tall wall filler (</t>
    </r>
    <r>
      <rPr>
        <b/>
        <sz val="10"/>
        <color theme="1"/>
        <rFont val="Arial"/>
        <family val="2"/>
      </rPr>
      <t>900mm high)</t>
    </r>
    <r>
      <rPr>
        <sz val="10"/>
        <color theme="1"/>
        <rFont val="Calibri"/>
        <family val="2"/>
        <scheme val="minor"/>
      </rPr>
      <t xml:space="preserve"> x 100mm wide</t>
    </r>
  </si>
  <si>
    <t>DSF</t>
  </si>
  <si>
    <r>
      <t>Standard dresser filler (</t>
    </r>
    <r>
      <rPr>
        <b/>
        <sz val="10"/>
        <color theme="1"/>
        <rFont val="Arial"/>
        <family val="2"/>
      </rPr>
      <t>1065mm high)</t>
    </r>
    <r>
      <rPr>
        <sz val="10"/>
        <color theme="1"/>
        <rFont val="Calibri"/>
        <family val="2"/>
        <scheme val="minor"/>
      </rPr>
      <t xml:space="preserve"> x 100mm wide</t>
    </r>
  </si>
  <si>
    <t>DMF</t>
  </si>
  <si>
    <r>
      <t xml:space="preserve">Medium dresser filler </t>
    </r>
    <r>
      <rPr>
        <b/>
        <sz val="10"/>
        <color theme="1"/>
        <rFont val="Arial"/>
        <family val="2"/>
      </rPr>
      <t>(1210mm high)</t>
    </r>
    <r>
      <rPr>
        <sz val="10"/>
        <color theme="1"/>
        <rFont val="Calibri"/>
        <family val="2"/>
        <scheme val="minor"/>
      </rPr>
      <t xml:space="preserve"> x 100mm</t>
    </r>
  </si>
  <si>
    <t>DTF</t>
  </si>
  <si>
    <r>
      <t xml:space="preserve">Tall dresser filler </t>
    </r>
    <r>
      <rPr>
        <b/>
        <sz val="10"/>
        <color theme="1"/>
        <rFont val="Arial"/>
        <family val="2"/>
      </rPr>
      <t>(1390mm high)</t>
    </r>
    <r>
      <rPr>
        <sz val="10"/>
        <color theme="1"/>
        <rFont val="Calibri"/>
        <family val="2"/>
        <scheme val="minor"/>
      </rPr>
      <t xml:space="preserve"> x 100mm wide</t>
    </r>
  </si>
  <si>
    <t>LSF</t>
  </si>
  <si>
    <r>
      <t>Standard larder filler (</t>
    </r>
    <r>
      <rPr>
        <b/>
        <sz val="10"/>
        <color theme="1"/>
        <rFont val="Arial"/>
        <family val="2"/>
      </rPr>
      <t>1825mm high)</t>
    </r>
    <r>
      <rPr>
        <sz val="10"/>
        <color theme="1"/>
        <rFont val="Calibri"/>
        <family val="2"/>
        <scheme val="minor"/>
      </rPr>
      <t xml:space="preserve"> x 100mm wide</t>
    </r>
  </si>
  <si>
    <t>LMF</t>
  </si>
  <si>
    <r>
      <t xml:space="preserve">Medium larder filler </t>
    </r>
    <r>
      <rPr>
        <b/>
        <sz val="10"/>
        <color theme="1"/>
        <rFont val="Arial"/>
        <family val="2"/>
      </rPr>
      <t>(1970mm high)</t>
    </r>
    <r>
      <rPr>
        <sz val="10"/>
        <color theme="1"/>
        <rFont val="Calibri"/>
        <family val="2"/>
        <scheme val="minor"/>
      </rPr>
      <t xml:space="preserve"> x 100mm wide</t>
    </r>
  </si>
  <si>
    <t>LTF</t>
  </si>
  <si>
    <r>
      <t xml:space="preserve">Tall larder filler </t>
    </r>
    <r>
      <rPr>
        <b/>
        <sz val="10"/>
        <color theme="1"/>
        <rFont val="Arial"/>
        <family val="2"/>
      </rPr>
      <t>(2150mm high)</t>
    </r>
    <r>
      <rPr>
        <sz val="10"/>
        <color theme="1"/>
        <rFont val="Calibri"/>
        <family val="2"/>
        <scheme val="minor"/>
      </rPr>
      <t xml:space="preserve"> x 100mm wide</t>
    </r>
  </si>
  <si>
    <t>PL</t>
  </si>
  <si>
    <t>Plinth running length</t>
  </si>
  <si>
    <t>DRW85</t>
  </si>
  <si>
    <t>85mm metabox drawer</t>
  </si>
  <si>
    <t>DRW150</t>
  </si>
  <si>
    <t>150mm metabox drawer</t>
  </si>
  <si>
    <t>standard softclose drawer</t>
  </si>
  <si>
    <t>pan softclose drawer</t>
  </si>
  <si>
    <t>TAMSS60</t>
  </si>
  <si>
    <t>Tambour stainless steel 600mm</t>
  </si>
  <si>
    <t>TAMGL60</t>
  </si>
  <si>
    <t xml:space="preserve">Tambour glass 600mm </t>
  </si>
  <si>
    <t>TAMGL90</t>
  </si>
  <si>
    <t xml:space="preserve">Tambour glass 900mm </t>
  </si>
  <si>
    <t>HNG100</t>
  </si>
  <si>
    <t>HNG180</t>
  </si>
  <si>
    <t>CRVW</t>
  </si>
  <si>
    <t>curved wall unit 720mm high 300mm wide</t>
  </si>
  <si>
    <t>CRVB</t>
  </si>
  <si>
    <t>curved base unit 720mm high 300mm wide</t>
  </si>
  <si>
    <t>CRVCNR90</t>
  </si>
  <si>
    <t>corner curved unit 90 x 90</t>
  </si>
  <si>
    <t>CRVCNR120</t>
  </si>
  <si>
    <t>corner curved unit 120 x 120</t>
  </si>
  <si>
    <t>60BR285</t>
  </si>
  <si>
    <t>standard dridging unit (285mm door) x 300mm dp 290mm H</t>
  </si>
  <si>
    <t>60BR355</t>
  </si>
  <si>
    <t>medium bridging unit (355mm door) x 300mm dp 360mm H</t>
  </si>
  <si>
    <t>30SD1DRW</t>
  </si>
  <si>
    <t>standard dresser unit 1 x 300mm drawer</t>
  </si>
  <si>
    <t>40SD1DRW</t>
  </si>
  <si>
    <t>standard dresser unit 1 x 400mm drawer</t>
  </si>
  <si>
    <t>45SD1DRW</t>
  </si>
  <si>
    <t>standard dresser unit 1 x 450mm drawer</t>
  </si>
  <si>
    <t>50SD1DRW</t>
  </si>
  <si>
    <t>standard dresser unit 1 x 500mm drawer</t>
  </si>
  <si>
    <t>60SD1DRW</t>
  </si>
  <si>
    <t>standard dresser unit 1 x 600mm drawer</t>
  </si>
  <si>
    <t xml:space="preserve">standard height 1065mm </t>
  </si>
  <si>
    <t>30MD2DRW</t>
  </si>
  <si>
    <t>medium dresser unit 2 x 300 drawers</t>
  </si>
  <si>
    <t>40MD2DRW</t>
  </si>
  <si>
    <t>medium dresser unit 2 x 400 drawers</t>
  </si>
  <si>
    <t>45MD2DRW</t>
  </si>
  <si>
    <t>medium dresser unit 2 x 450 drawers</t>
  </si>
  <si>
    <t>50MD2DRW</t>
  </si>
  <si>
    <t>medium dresser unit 2 x 500 drawers</t>
  </si>
  <si>
    <t>60MD2DRW</t>
  </si>
  <si>
    <t>medium dresser unit 2 x 600 drawers</t>
  </si>
  <si>
    <t xml:space="preserve">standard height 1210mm </t>
  </si>
  <si>
    <t>30TD2DRW</t>
  </si>
  <si>
    <t xml:space="preserve">tall dresser unit 2 x drawer 300mm </t>
  </si>
  <si>
    <t>40TD2DRW</t>
  </si>
  <si>
    <t xml:space="preserve">tall dresser unit 2 x drawer 400mm </t>
  </si>
  <si>
    <t>45TD2DRW</t>
  </si>
  <si>
    <t xml:space="preserve">tall dresser unit 2 x drawer 450mm </t>
  </si>
  <si>
    <t>50TD2DRW</t>
  </si>
  <si>
    <t xml:space="preserve">tall dresser unit 2 x drawer 500mm </t>
  </si>
  <si>
    <t>60TD2DRW</t>
  </si>
  <si>
    <t xml:space="preserve">tall dresser unit 2 x drawer 600mm </t>
  </si>
  <si>
    <t>standard height 1390mm</t>
  </si>
  <si>
    <t>50PW</t>
  </si>
  <si>
    <t>peninsular wall unit 500mm</t>
  </si>
  <si>
    <t>60PW</t>
  </si>
  <si>
    <t>peninsular wall unit 600mm</t>
  </si>
  <si>
    <t>80PW</t>
  </si>
  <si>
    <t>peninsular wall unit 800mm</t>
  </si>
  <si>
    <t>100PW</t>
  </si>
  <si>
    <t>peninsular wall unit 1000mm</t>
  </si>
  <si>
    <t>120PW</t>
  </si>
  <si>
    <t>peninsular wall unit 1200mm</t>
  </si>
  <si>
    <t xml:space="preserve">standard height 720mm </t>
  </si>
  <si>
    <t>50TBS</t>
  </si>
  <si>
    <t>standard top box 500mm</t>
  </si>
  <si>
    <t>60TBS</t>
  </si>
  <si>
    <t>standard top box 600mm</t>
  </si>
  <si>
    <t>50TBM</t>
  </si>
  <si>
    <t>medium top box 500mm</t>
  </si>
  <si>
    <t>60TBM</t>
  </si>
  <si>
    <t>medium top box 600mm</t>
  </si>
  <si>
    <t>50TBT</t>
  </si>
  <si>
    <t>tall top box 500mm</t>
  </si>
  <si>
    <t>60TBT</t>
  </si>
  <si>
    <t>tall top box 600mm</t>
  </si>
  <si>
    <t>BEQ</t>
  </si>
  <si>
    <t>base end quad</t>
  </si>
  <si>
    <t>WEQ</t>
  </si>
  <si>
    <t>wall end quad</t>
  </si>
  <si>
    <t>DEQ</t>
  </si>
  <si>
    <t>dresser end quad</t>
  </si>
  <si>
    <t>LEQ</t>
  </si>
  <si>
    <t>larder end quad</t>
  </si>
  <si>
    <t>40R</t>
  </si>
  <si>
    <t>400mm wide robe</t>
  </si>
  <si>
    <t>50R</t>
  </si>
  <si>
    <t>500mm wide rode</t>
  </si>
  <si>
    <t>60R</t>
  </si>
  <si>
    <t>600mm wide robe</t>
  </si>
  <si>
    <t>80R</t>
  </si>
  <si>
    <t>800mm wide robe</t>
  </si>
  <si>
    <t>100R</t>
  </si>
  <si>
    <t>1000mm wide robe</t>
  </si>
  <si>
    <t>120R</t>
  </si>
  <si>
    <t>1200mm wide robe</t>
  </si>
  <si>
    <t>80RC</t>
  </si>
  <si>
    <t>800mm wide corner robe</t>
  </si>
  <si>
    <t>90RC</t>
  </si>
  <si>
    <t>900mm wide corner robe</t>
  </si>
  <si>
    <t>100RC</t>
  </si>
  <si>
    <t>1000mm wide corner robe</t>
  </si>
  <si>
    <t>120RC</t>
  </si>
  <si>
    <t>1200mm wide corner robe</t>
  </si>
  <si>
    <t>90RDCNR</t>
  </si>
  <si>
    <t>diagonal corner robe (496mm door)</t>
  </si>
  <si>
    <t>All above cabinet are 2160mm high x 560mm deep + legs</t>
  </si>
  <si>
    <t>40RLP</t>
  </si>
  <si>
    <t>linen press 1495mm door + 3 x 215mm drawers 400mm wide</t>
  </si>
  <si>
    <t>50RLP</t>
  </si>
  <si>
    <t>linen press 1495mm door + 3 x 215mm drawers 500mm wide</t>
  </si>
  <si>
    <t>60RLP</t>
  </si>
  <si>
    <t>linen press 1495mm door + 3 x 215mm drawers 600mm wide</t>
  </si>
  <si>
    <t>80RLP</t>
  </si>
  <si>
    <t>linen press 1495mm door + 3 x 215mm drawers 800mm wide</t>
  </si>
  <si>
    <t>100RLP</t>
  </si>
  <si>
    <t>linen press 1495mm door + 3 x 215mm drawers 1000mm wide</t>
  </si>
  <si>
    <t>standard 2160mm high + legs</t>
  </si>
  <si>
    <t>40BRS</t>
  </si>
  <si>
    <t>540mm high x 560mm deep deep bridging unit 400mm wide</t>
  </si>
  <si>
    <t>50BRS</t>
  </si>
  <si>
    <t>540mm high x 560mm deep deep bridging unit 500mm wide</t>
  </si>
  <si>
    <t>60BRS</t>
  </si>
  <si>
    <t>540mm high x 560mm deep deep bridging unit 600mm wide</t>
  </si>
  <si>
    <t>80BRS</t>
  </si>
  <si>
    <t>540mm high x 560mm deep deep bridging unit 800mm wide</t>
  </si>
  <si>
    <t>100BRS</t>
  </si>
  <si>
    <t>540mm high x 560mm deep deep bridging unit 1000mm wide</t>
  </si>
  <si>
    <t>120BRS</t>
  </si>
  <si>
    <t>540mm high x 560mm deep deep bridging unit 1200mm wide</t>
  </si>
  <si>
    <t>403BDRW</t>
  </si>
  <si>
    <t>760mm high x 490mm deep + 3 x 215mm drawers 400mm wide</t>
  </si>
  <si>
    <t>503BDRW</t>
  </si>
  <si>
    <t>760mm high x 490mm deep + 3 x 215mm drawers 500mm wide</t>
  </si>
  <si>
    <t>603BDRW</t>
  </si>
  <si>
    <t>760mm high x 490mm deep + 3 x 215mm drawers 600mm wide</t>
  </si>
  <si>
    <t>803BDRW</t>
  </si>
  <si>
    <t>760mm high x 490mm deep + 3 x 215mm drawers 800mm wide</t>
  </si>
  <si>
    <t>1003BDRW</t>
  </si>
  <si>
    <t>760mm high x 490mm deep + 3 x 215mm drawers 1000mm wide</t>
  </si>
  <si>
    <t>chest of drawers</t>
  </si>
  <si>
    <t>402BDRW</t>
  </si>
  <si>
    <t>540mm high x 490mm deep + 2 x 215mm drawers 400mm wide</t>
  </si>
  <si>
    <t>502BDRW</t>
  </si>
  <si>
    <t>540mm high x 490mm deep + 2 x 215mm drawers 500mm wide</t>
  </si>
  <si>
    <t>602BDRW</t>
  </si>
  <si>
    <t>540mm high x 490mm deep + 2 x 215mm drawers 600mm wide</t>
  </si>
  <si>
    <t>802BDRW</t>
  </si>
  <si>
    <t>540mm high x 490mm deep + 2 x 215mm drawers 800mm wide</t>
  </si>
  <si>
    <t>1002BDRW</t>
  </si>
  <si>
    <t>540mm high x 490mm deep + 2 x 215mm drawers 1000mm wide</t>
  </si>
  <si>
    <t>405BDRW</t>
  </si>
  <si>
    <t>1000mm high x 490mm deep + 5 x 175mm drawers 400mm wide</t>
  </si>
  <si>
    <t>505BDRW</t>
  </si>
  <si>
    <t>1000mm high x 490mm deep + 5 x 175mm drawers 500mm wide</t>
  </si>
  <si>
    <t>605BDRW</t>
  </si>
  <si>
    <t>1000mm high x 490mm deep + 5 x 175mm drawers 600mm wide</t>
  </si>
  <si>
    <t>805BDRW</t>
  </si>
  <si>
    <t>1000mm high x 490mm deep + 5 x 175mm drawers 800mm wide</t>
  </si>
  <si>
    <t>1005BDRW</t>
  </si>
  <si>
    <t>1000mm high x 490mm deep + 5 x 175mm drawers 1000mm wide</t>
  </si>
  <si>
    <t>Category</t>
  </si>
  <si>
    <t>Base Units</t>
  </si>
  <si>
    <t>High Line</t>
  </si>
  <si>
    <t>Drawerline</t>
  </si>
  <si>
    <t>qty1</t>
  </si>
  <si>
    <t>Height1</t>
  </si>
  <si>
    <t>Width1</t>
  </si>
  <si>
    <t>qty2</t>
  </si>
  <si>
    <t>Height2</t>
  </si>
  <si>
    <t>Width2</t>
  </si>
  <si>
    <t>Width</t>
  </si>
  <si>
    <t>Height</t>
  </si>
  <si>
    <t>Depth</t>
  </si>
  <si>
    <t>qty3</t>
  </si>
  <si>
    <t>Height3</t>
  </si>
  <si>
    <t>Width3</t>
  </si>
  <si>
    <t xml:space="preserve">Corner </t>
  </si>
  <si>
    <t>Corner</t>
  </si>
  <si>
    <t xml:space="preserve">Base Units </t>
  </si>
  <si>
    <t>Dummy</t>
  </si>
  <si>
    <t>Draw Packs</t>
  </si>
  <si>
    <t>Appliance Housing</t>
  </si>
  <si>
    <t>Larder Units</t>
  </si>
  <si>
    <t>Medium</t>
  </si>
  <si>
    <t>Tall</t>
  </si>
  <si>
    <t xml:space="preserve">Wall Units </t>
  </si>
  <si>
    <t>Standard</t>
  </si>
  <si>
    <t>Medium Corner Wall 600mm wide 300mm blank/ 300mm door</t>
  </si>
  <si>
    <t>Medium Corner Wall 700mm wide 300mm blank/ 400mm door</t>
  </si>
  <si>
    <t>Medium Corner Wall 800mm wide 300mm blank/ 500mm door</t>
  </si>
  <si>
    <t>Medium Corner Wall 900mm wide 300mm blank/ 600mm door</t>
  </si>
  <si>
    <t>LM60DOD</t>
  </si>
  <si>
    <t>LM60SMD</t>
  </si>
  <si>
    <t>LT60DOD</t>
  </si>
  <si>
    <t>LT60SMD</t>
  </si>
  <si>
    <t xml:space="preserve">End Panels </t>
  </si>
  <si>
    <t xml:space="preserve">Fillers </t>
  </si>
  <si>
    <t>LM302</t>
  </si>
  <si>
    <t>LM402</t>
  </si>
  <si>
    <t>LM452</t>
  </si>
  <si>
    <t>LM502</t>
  </si>
  <si>
    <t>LM602</t>
  </si>
  <si>
    <t>LT302</t>
  </si>
  <si>
    <t>LT402</t>
  </si>
  <si>
    <t>LT452</t>
  </si>
  <si>
    <t>LT502</t>
  </si>
  <si>
    <t>LT602</t>
  </si>
  <si>
    <t>Finishing</t>
  </si>
  <si>
    <t>Plinth</t>
  </si>
  <si>
    <t>Wall Units</t>
  </si>
  <si>
    <t>Bridging</t>
  </si>
  <si>
    <t>Wardrobes</t>
  </si>
  <si>
    <t>standard</t>
  </si>
  <si>
    <t>Chest of drawers</t>
  </si>
  <si>
    <t>High</t>
  </si>
  <si>
    <t>Linen Press</t>
  </si>
  <si>
    <t>Peninsular</t>
  </si>
  <si>
    <t>Top Box</t>
  </si>
  <si>
    <t>100BCLM</t>
  </si>
  <si>
    <t>110BCLM</t>
  </si>
  <si>
    <t>qty4</t>
  </si>
  <si>
    <t>Hieght4</t>
  </si>
  <si>
    <t>Width4</t>
  </si>
  <si>
    <t>15BPO</t>
  </si>
  <si>
    <t>LM60SOD</t>
  </si>
  <si>
    <t>LT60SOD</t>
  </si>
  <si>
    <t>Cornerbase 1000mm wide (Lemans)</t>
  </si>
  <si>
    <t>Cornerbase 1100mm wide (Lemans)</t>
  </si>
  <si>
    <t>90BLCC</t>
  </si>
  <si>
    <t>LM40PO</t>
  </si>
  <si>
    <t>LM60PO</t>
  </si>
  <si>
    <t>Larder P/O</t>
  </si>
  <si>
    <t>Quad</t>
  </si>
  <si>
    <t xml:space="preserve">Misc </t>
  </si>
  <si>
    <t>Shelf</t>
  </si>
  <si>
    <t>50PB</t>
  </si>
  <si>
    <t>60PB</t>
  </si>
  <si>
    <t>80PB</t>
  </si>
  <si>
    <t>100PB</t>
  </si>
  <si>
    <t>120PB</t>
  </si>
  <si>
    <t>peninsular Base unit 500mm</t>
  </si>
  <si>
    <t>30PB</t>
  </si>
  <si>
    <t>40PB</t>
  </si>
  <si>
    <t>45PB</t>
  </si>
  <si>
    <t>90PB</t>
  </si>
  <si>
    <t>medium (1970mm high) single oven housing 600mm wide (Draw)</t>
  </si>
  <si>
    <t>medium (1970mm high) Double oven housing 600mm wide (Draw)</t>
  </si>
  <si>
    <t>medium (1970mm high) oven &amp; micro housing 600mm wide (Draw)</t>
  </si>
  <si>
    <t>tall (2150mm high) single oven housing 600mm wide (Draw)</t>
  </si>
  <si>
    <t>tall (2150mm high) double oven housing 600mm wide (Draw)</t>
  </si>
  <si>
    <t>tall (2150mm high) oven &amp; micro housing 600mm wide (Draw)</t>
  </si>
  <si>
    <t>Medium (1970mm high) 400mm larder with P/O</t>
  </si>
  <si>
    <t>Medium (1970mm high) 600mm larder with P/O</t>
  </si>
  <si>
    <t>peninsular Base unit 300mm</t>
  </si>
  <si>
    <t>peninsular Base unit 400mm</t>
  </si>
  <si>
    <t>peninsular Base unit 450mm</t>
  </si>
  <si>
    <t>peninsular Base unit 600mm</t>
  </si>
  <si>
    <t>peninsular Base unit 800mm</t>
  </si>
  <si>
    <t>peninsular Base unit 900mm</t>
  </si>
  <si>
    <t>peninsular Base unit 1000mm</t>
  </si>
  <si>
    <t>peninsular Base unit 1200mm</t>
  </si>
  <si>
    <t>Medium Corner Wall diagonal 600mm wide / 400mm door</t>
  </si>
  <si>
    <t xml:space="preserve">Medium Corner Wall L shape 600mm wide </t>
  </si>
  <si>
    <t>Dresser Units</t>
  </si>
  <si>
    <t>100 degree clip on hinge &amp; plate (pair)</t>
  </si>
  <si>
    <t>180 degree clip on hinge &amp; plate (pair)</t>
  </si>
  <si>
    <t>x1 standard Internal drawer</t>
  </si>
  <si>
    <t>Internal Draws</t>
  </si>
  <si>
    <t>Sliding Door (Single Colour)</t>
  </si>
  <si>
    <t>SDFM1</t>
  </si>
  <si>
    <t xml:space="preserve">Sliding Door - Full Mirror </t>
  </si>
  <si>
    <t>SDSC1</t>
  </si>
  <si>
    <t>SDSC3</t>
  </si>
  <si>
    <t>Sliding Door - x3 Split Colour</t>
  </si>
  <si>
    <t>Sliding Door - Extra Split</t>
  </si>
  <si>
    <t>Sliding</t>
  </si>
  <si>
    <t>sliding</t>
  </si>
  <si>
    <t>WDS</t>
  </si>
  <si>
    <t>SDS</t>
  </si>
  <si>
    <t>Standard Door Split</t>
  </si>
  <si>
    <t>Misc</t>
  </si>
  <si>
    <t>x1 Internal softclose drawer</t>
  </si>
  <si>
    <t>IDRW</t>
  </si>
  <si>
    <t>SCIDRW</t>
  </si>
  <si>
    <t>LM9090</t>
  </si>
  <si>
    <t>LT9090</t>
  </si>
  <si>
    <t>Medium (1970mm high) larder L/Corner 5 Shelves</t>
  </si>
  <si>
    <t>Tall (2150mm high) larder L/Corner 5 Shelves</t>
  </si>
  <si>
    <t>Tall (1970mm high) 400mm larder with P/O</t>
  </si>
  <si>
    <t>Tall (1970mm high) 600mm larder with P/O</t>
  </si>
  <si>
    <t>LT402PO</t>
  </si>
  <si>
    <t>LT602PO</t>
  </si>
  <si>
    <t>scdrwbxs</t>
  </si>
  <si>
    <t>scdrwbxp</t>
  </si>
  <si>
    <t>30WA</t>
  </si>
  <si>
    <t>Medium Angle Wall Unit 300mm wide</t>
  </si>
  <si>
    <t xml:space="preserve">Accessories </t>
  </si>
  <si>
    <t>Tambour</t>
  </si>
  <si>
    <t>Hinges</t>
  </si>
  <si>
    <t>Draw</t>
  </si>
  <si>
    <t>Curved</t>
  </si>
  <si>
    <t>90W</t>
  </si>
  <si>
    <t>Medium Wall Unit 900mm wide</t>
  </si>
  <si>
    <t>90WS</t>
  </si>
  <si>
    <t>Standard Wall Unit 900mm wide</t>
  </si>
  <si>
    <t>90WT</t>
  </si>
  <si>
    <t>Tall Wall Unit 900mm wide</t>
  </si>
  <si>
    <t>90WBI</t>
  </si>
  <si>
    <t>100WBI</t>
  </si>
  <si>
    <t>Medium Wall Unit 900mm wide - Bifold</t>
  </si>
  <si>
    <t>Medium Wall Unit 1000mm wide - Bifold</t>
  </si>
  <si>
    <t>80WBI</t>
  </si>
  <si>
    <t>Medium Wall Unit 800mm wide - Bifold</t>
  </si>
  <si>
    <t>Base Unit 150mm wide</t>
  </si>
  <si>
    <t>Description carcas only</t>
  </si>
  <si>
    <t>2016 Price</t>
  </si>
  <si>
    <t>2025 Price</t>
  </si>
  <si>
    <t>carcas price ex VAT</t>
  </si>
  <si>
    <t xml:space="preserve">215mm high x 396mm wide drawer front </t>
  </si>
  <si>
    <t xml:space="preserve">215mm high x 496mm wide drawer front </t>
  </si>
  <si>
    <t xml:space="preserve">215mm high x 596mm wide drawer front </t>
  </si>
  <si>
    <t xml:space="preserve">215mm high x 796mm wide drawer front </t>
  </si>
  <si>
    <t xml:space="preserve">215mm high x 896mm wide drawer front </t>
  </si>
  <si>
    <t xml:space="preserve">215mm high x 996mm wide drawer front </t>
  </si>
  <si>
    <t xml:space="preserve">175mm high x 396mm wide drawer front </t>
  </si>
  <si>
    <t xml:space="preserve">175mm high x 496mm wide drawer front </t>
  </si>
  <si>
    <t xml:space="preserve">175mm high x 596mm wide drawer front </t>
  </si>
  <si>
    <t xml:space="preserve">175mm high x 796mm wide drawer front </t>
  </si>
  <si>
    <t xml:space="preserve">175mm high x 896mm wide drawer front </t>
  </si>
  <si>
    <t xml:space="preserve">175mm high x 996mm wide drawer front </t>
  </si>
  <si>
    <t>Acrylic gloss/Matt</t>
  </si>
  <si>
    <t>vinyl doors</t>
  </si>
  <si>
    <t>Black Glass</t>
  </si>
  <si>
    <t>TOTAL</t>
  </si>
  <si>
    <t xml:space="preserve">  </t>
  </si>
  <si>
    <t xml:space="preserve">basic slab frnt door (2250 H) / drawer </t>
  </si>
  <si>
    <t>basic slab frnt door/ drawer</t>
  </si>
  <si>
    <t>and 560mm deep (575mm door, 145mm drawer front)</t>
  </si>
  <si>
    <t>Cornerbase 900mm wide (450mm door)</t>
  </si>
  <si>
    <t>Cornerbase 800mm wide (400mm door)</t>
  </si>
  <si>
    <t>Cornerbase 1000mm wide (500mm door)</t>
  </si>
  <si>
    <t>Cornerbase 1100mm wide (550mm door)</t>
  </si>
  <si>
    <t>Cornerbase 1200mm wide (600mm door)</t>
  </si>
  <si>
    <t>L shape corner base unit 900mm wide (346mm x 2 doors)</t>
  </si>
  <si>
    <t>Diagonal corner base unit 900mm wide (496mm door)</t>
  </si>
  <si>
    <t xml:space="preserve">L shape corner base unit 900mm wide (Carousel 346mm x 2 doors)) </t>
  </si>
  <si>
    <t>Dummy Draw base unit 500mm wide (175mm drawer front)</t>
  </si>
  <si>
    <t>Dummy Draw base unit 600mm wide (175mm drawer front)</t>
  </si>
  <si>
    <t xml:space="preserve">Dummy Draw base unit 800mm wide (175mm drawe front) </t>
  </si>
  <si>
    <t xml:space="preserve">Dummy Draw base unit 900mm wide (175mm drawe front) </t>
  </si>
  <si>
    <t xml:space="preserve">Dummy Draw base unit 1000mm wide (175mm drawe front) </t>
  </si>
  <si>
    <t xml:space="preserve">Dummy Draw base unit 1200mm wide (175mm drawe front) </t>
  </si>
  <si>
    <t xml:space="preserve">140mm high x 396mm wide drawer front </t>
  </si>
  <si>
    <t xml:space="preserve">140mm high x 496mm wide drawer front </t>
  </si>
  <si>
    <t xml:space="preserve">140mm high x 596mm wide drawer front </t>
  </si>
  <si>
    <t xml:space="preserve">140mm high x 796mm wide drawer front </t>
  </si>
  <si>
    <t xml:space="preserve">140mm high x 896mm wide drawer front </t>
  </si>
  <si>
    <t xml:space="preserve">140mm high x 996mm wide drawer front </t>
  </si>
  <si>
    <t xml:space="preserve">140mm high x 446mm wide drawer front </t>
  </si>
  <si>
    <t>Drawers 5 x 140 300mm wide</t>
  </si>
  <si>
    <t xml:space="preserve">355mm high x 396mm wide drawer front </t>
  </si>
  <si>
    <t xml:space="preserve">355mm high x 496mm wide drawer front </t>
  </si>
  <si>
    <t xml:space="preserve">355mm high x 596mm wide drawer front </t>
  </si>
  <si>
    <t xml:space="preserve">355mm high x 796mm wide drawer front </t>
  </si>
  <si>
    <t xml:space="preserve">355mm high x 896mm wide drawer front </t>
  </si>
  <si>
    <t xml:space="preserve">355mm high x 996mm wide drawer front </t>
  </si>
  <si>
    <t xml:space="preserve">355mm high x 296mm wide drawer front </t>
  </si>
  <si>
    <t xml:space="preserve">283mm high x 796mm wide drawer front </t>
  </si>
  <si>
    <t xml:space="preserve">283mm high x 396mm wide drawer front </t>
  </si>
  <si>
    <t xml:space="preserve">283mm high x 496mm wide drawer front </t>
  </si>
  <si>
    <t xml:space="preserve">283mm high x 596mm wide drawer front </t>
  </si>
  <si>
    <t xml:space="preserve">283mm high x 896mm wide drawer front </t>
  </si>
  <si>
    <t xml:space="preserve">283mm high x 996mm wide drawer front </t>
  </si>
  <si>
    <t xml:space="preserve">283mm high x 296mm wide drawer front </t>
  </si>
  <si>
    <t>Prices @ 60% (EQ)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</si>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</sst>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sz val="11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2" fontId="1" fillId="0" borderId="1" xfId="0" applyNumberFormat="1" applyFont="1" applyBorder="1"/>
    <xf numFmtId="2" fontId="0" fillId="0" borderId="0" xfId="0" applyNumberFormat="1"/>
    <xf numFmtId="0" fontId="7" fillId="0" borderId="0" xfId="0" applyFont="1"/>
    <xf numFmtId="2" fontId="8" fillId="0" borderId="0" xfId="0" applyNumberFormat="1" applyFont="1"/>
    <xf numFmtId="2" fontId="8" fillId="2" borderId="0" xfId="0" applyNumberFormat="1" applyFont="1" applyFill="1"/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0" borderId="6" xfId="0" applyBorder="1"/>
    <xf numFmtId="0" fontId="3" fillId="0" borderId="6" xfId="0" applyFont="1" applyBorder="1"/>
    <xf numFmtId="2" fontId="1" fillId="0" borderId="6" xfId="0" applyNumberFormat="1" applyFont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2" fontId="6" fillId="4" borderId="6" xfId="0" applyNumberFormat="1" applyFont="1" applyFill="1" applyBorder="1" applyAlignment="1">
      <alignment horizontal="center"/>
    </xf>
    <xf numFmtId="2" fontId="1" fillId="5" borderId="6" xfId="0" applyNumberFormat="1" applyFont="1" applyFill="1" applyBorder="1" applyAlignment="1">
      <alignment horizontal="center"/>
    </xf>
    <xf numFmtId="2" fontId="1" fillId="6" borderId="6" xfId="0" applyNumberFormat="1" applyFont="1" applyFill="1" applyBorder="1" applyAlignment="1">
      <alignment horizontal="center"/>
    </xf>
    <xf numFmtId="2" fontId="1" fillId="7" borderId="6" xfId="0" applyNumberFormat="1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2" fontId="6" fillId="0" borderId="6" xfId="0" applyNumberFormat="1" applyFont="1" applyBorder="1" applyAlignment="1">
      <alignment horizontal="center"/>
    </xf>
    <xf numFmtId="2" fontId="6" fillId="7" borderId="6" xfId="0" applyNumberFormat="1" applyFont="1" applyFill="1" applyBorder="1" applyAlignment="1">
      <alignment horizontal="center"/>
    </xf>
    <xf numFmtId="0" fontId="4" fillId="0" borderId="6" xfId="0" applyFont="1" applyBorder="1"/>
    <xf numFmtId="2" fontId="0" fillId="0" borderId="6" xfId="0" applyNumberFormat="1" applyBorder="1"/>
    <xf numFmtId="2" fontId="0" fillId="3" borderId="6" xfId="0" applyNumberFormat="1" applyFill="1" applyBorder="1"/>
    <xf numFmtId="2" fontId="8" fillId="4" borderId="6" xfId="0" applyNumberFormat="1" applyFont="1" applyFill="1" applyBorder="1" applyAlignment="1">
      <alignment horizontal="center"/>
    </xf>
    <xf numFmtId="2" fontId="0" fillId="6" borderId="6" xfId="0" applyNumberFormat="1" applyFill="1" applyBorder="1"/>
    <xf numFmtId="2" fontId="0" fillId="7" borderId="6" xfId="0" applyNumberFormat="1" applyFill="1" applyBorder="1"/>
    <xf numFmtId="2" fontId="1" fillId="4" borderId="6" xfId="0" applyNumberFormat="1" applyFont="1" applyFill="1" applyBorder="1" applyAlignment="1">
      <alignment horizontal="center"/>
    </xf>
    <xf numFmtId="2" fontId="1" fillId="0" borderId="6" xfId="0" applyNumberFormat="1" applyFont="1" applyBorder="1"/>
    <xf numFmtId="2" fontId="1" fillId="3" borderId="6" xfId="0" applyNumberFormat="1" applyFont="1" applyFill="1" applyBorder="1"/>
    <xf numFmtId="2" fontId="1" fillId="6" borderId="6" xfId="0" applyNumberFormat="1" applyFont="1" applyFill="1" applyBorder="1"/>
    <xf numFmtId="2" fontId="1" fillId="7" borderId="6" xfId="0" applyNumberFormat="1" applyFont="1" applyFill="1" applyBorder="1"/>
    <xf numFmtId="0" fontId="1" fillId="0" borderId="6" xfId="0" applyFont="1" applyBorder="1"/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vertical="center"/>
    </xf>
    <xf numFmtId="0" fontId="0" fillId="0" borderId="7" xfId="0" applyBorder="1"/>
    <xf numFmtId="2" fontId="0" fillId="0" borderId="7" xfId="0" applyNumberFormat="1" applyBorder="1"/>
    <xf numFmtId="2" fontId="0" fillId="0" borderId="7" xfId="0" applyNumberFormat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/>
    </xf>
    <xf numFmtId="0" fontId="0" fillId="0" borderId="8" xfId="0" applyBorder="1"/>
    <xf numFmtId="0" fontId="3" fillId="0" borderId="8" xfId="0" applyFont="1" applyBorder="1"/>
    <xf numFmtId="2" fontId="1" fillId="0" borderId="8" xfId="0" applyNumberFormat="1" applyFont="1" applyBorder="1" applyAlignment="1">
      <alignment horizontal="center"/>
    </xf>
    <xf numFmtId="2" fontId="1" fillId="3" borderId="8" xfId="0" applyNumberFormat="1" applyFont="1" applyFill="1" applyBorder="1" applyAlignment="1">
      <alignment horizontal="center"/>
    </xf>
    <xf numFmtId="2" fontId="6" fillId="4" borderId="8" xfId="0" applyNumberFormat="1" applyFont="1" applyFill="1" applyBorder="1" applyAlignment="1">
      <alignment horizontal="center"/>
    </xf>
    <xf numFmtId="2" fontId="1" fillId="5" borderId="8" xfId="0" applyNumberFormat="1" applyFont="1" applyFill="1" applyBorder="1" applyAlignment="1">
      <alignment horizontal="center"/>
    </xf>
    <xf numFmtId="2" fontId="1" fillId="6" borderId="8" xfId="0" applyNumberFormat="1" applyFont="1" applyFill="1" applyBorder="1" applyAlignment="1">
      <alignment horizontal="center"/>
    </xf>
    <xf numFmtId="2" fontId="1" fillId="7" borderId="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8" fillId="2" borderId="0" xfId="0" applyNumberFormat="1" applyFont="1" applyFill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2" fontId="6" fillId="2" borderId="6" xfId="0" applyNumberFormat="1" applyFont="1" applyFill="1" applyBorder="1" applyAlignment="1">
      <alignment horizontal="center"/>
    </xf>
    <xf numFmtId="2" fontId="8" fillId="2" borderId="6" xfId="0" applyNumberFormat="1" applyFont="1" applyFill="1" applyBorder="1" applyAlignment="1">
      <alignment horizontal="center"/>
    </xf>
    <xf numFmtId="2" fontId="1" fillId="2" borderId="6" xfId="0" applyNumberFormat="1" applyFont="1" applyFill="1" applyBorder="1" applyAlignment="1">
      <alignment horizontal="center"/>
    </xf>
    <xf numFmtId="2" fontId="0" fillId="2" borderId="6" xfId="0" applyNumberFormat="1" applyFill="1" applyBorder="1" applyAlignment="1">
      <alignment horizontal="center" vertical="center"/>
    </xf>
    <xf numFmtId="2" fontId="0" fillId="2" borderId="7" xfId="0" applyNumberFormat="1" applyFill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2" fontId="1" fillId="2" borderId="8" xfId="0" applyNumberFormat="1" applyFont="1" applyFill="1" applyBorder="1" applyAlignment="1">
      <alignment horizontal="center"/>
    </xf>
    <xf numFmtId="2" fontId="0" fillId="2" borderId="6" xfId="0" applyNumberFormat="1" applyFill="1" applyBorder="1"/>
    <xf numFmtId="2" fontId="1" fillId="2" borderId="6" xfId="0" applyNumberFormat="1" applyFont="1" applyFill="1" applyBorder="1"/>
    <xf numFmtId="2" fontId="0" fillId="2" borderId="0" xfId="0" applyNumberFormat="1" applyFill="1" applyAlignment="1">
      <alignment vertical="center"/>
    </xf>
    <xf numFmtId="2" fontId="0" fillId="2" borderId="0" xfId="0" applyNumberFormat="1" applyFill="1"/>
    <xf numFmtId="2" fontId="0" fillId="2" borderId="6" xfId="0" applyNumberFormat="1" applyFill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 wrapText="1"/>
    </xf>
    <xf numFmtId="2" fontId="11" fillId="3" borderId="3" xfId="0" applyNumberFormat="1" applyFont="1" applyFill="1" applyBorder="1" applyAlignment="1">
      <alignment horizontal="center" vertical="center" wrapText="1"/>
    </xf>
    <xf numFmtId="2" fontId="11" fillId="4" borderId="3" xfId="0" applyNumberFormat="1" applyFont="1" applyFill="1" applyBorder="1" applyAlignment="1">
      <alignment horizontal="center" vertical="center" wrapText="1"/>
    </xf>
    <xf numFmtId="2" fontId="11" fillId="5" borderId="3" xfId="0" applyNumberFormat="1" applyFont="1" applyFill="1" applyBorder="1" applyAlignment="1">
      <alignment horizontal="center" vertical="center" wrapText="1"/>
    </xf>
    <xf numFmtId="2" fontId="11" fillId="6" borderId="3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0" xfId="0" applyFont="1" applyAlignment="1">
      <alignment vertical="center"/>
    </xf>
    <xf numFmtId="2" fontId="6" fillId="2" borderId="6" xfId="0" applyNumberFormat="1" applyFont="1" applyFill="1" applyBorder="1"/>
    <xf numFmtId="2" fontId="1" fillId="4" borderId="6" xfId="0" applyNumberFormat="1" applyFont="1" applyFill="1" applyBorder="1"/>
    <xf numFmtId="0" fontId="2" fillId="0" borderId="6" xfId="0" applyFont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4" borderId="6" xfId="0" applyNumberFormat="1" applyFont="1" applyFill="1" applyBorder="1" applyAlignment="1">
      <alignment horizontal="center"/>
    </xf>
    <xf numFmtId="0" fontId="3" fillId="0" borderId="7" xfId="0" applyFont="1" applyBorder="1"/>
    <xf numFmtId="2" fontId="1" fillId="0" borderId="7" xfId="0" applyNumberFormat="1" applyFont="1" applyBorder="1"/>
    <xf numFmtId="0" fontId="1" fillId="0" borderId="7" xfId="0" applyFont="1" applyBorder="1"/>
    <xf numFmtId="2" fontId="1" fillId="4" borderId="8" xfId="0" applyNumberFormat="1" applyFont="1" applyFill="1" applyBorder="1" applyAlignment="1">
      <alignment horizontal="center"/>
    </xf>
    <xf numFmtId="0" fontId="10" fillId="0" borderId="3" xfId="0" applyFont="1" applyBorder="1" applyAlignment="1">
      <alignment horizontal="center" vertical="center"/>
    </xf>
    <xf numFmtId="2" fontId="12" fillId="2" borderId="3" xfId="0" applyNumberFormat="1" applyFont="1" applyFill="1" applyBorder="1" applyAlignment="1">
      <alignment horizontal="center" vertical="center"/>
    </xf>
    <xf numFmtId="2" fontId="11" fillId="0" borderId="3" xfId="0" applyNumberFormat="1" applyFont="1" applyBorder="1" applyAlignment="1">
      <alignment horizontal="center" vertical="center"/>
    </xf>
    <xf numFmtId="2" fontId="1" fillId="5" borderId="6" xfId="0" applyNumberFormat="1" applyFont="1" applyFill="1" applyBorder="1"/>
    <xf numFmtId="2" fontId="2" fillId="5" borderId="6" xfId="0" applyNumberFormat="1" applyFont="1" applyFill="1" applyBorder="1" applyAlignment="1">
      <alignment horizontal="center"/>
    </xf>
    <xf numFmtId="2" fontId="2" fillId="6" borderId="6" xfId="0" applyNumberFormat="1" applyFont="1" applyFill="1" applyBorder="1" applyAlignment="1">
      <alignment horizontal="center"/>
    </xf>
    <xf numFmtId="2" fontId="2" fillId="7" borderId="6" xfId="0" applyNumberFormat="1" applyFont="1" applyFill="1" applyBorder="1" applyAlignment="1">
      <alignment horizontal="center"/>
    </xf>
    <xf numFmtId="0" fontId="13" fillId="0" borderId="6" xfId="0" applyFont="1" applyBorder="1"/>
    <xf numFmtId="0" fontId="14" fillId="0" borderId="6" xfId="0" applyFont="1" applyBorder="1"/>
    <xf numFmtId="0" fontId="14" fillId="0" borderId="7" xfId="0" applyFont="1" applyBorder="1"/>
    <xf numFmtId="0" fontId="14" fillId="0" borderId="10" xfId="0" applyFont="1" applyBorder="1"/>
    <xf numFmtId="0" fontId="14" fillId="0" borderId="11" xfId="0" applyFont="1" applyBorder="1"/>
    <xf numFmtId="2" fontId="6" fillId="2" borderId="12" xfId="0" applyNumberFormat="1" applyFont="1" applyFill="1" applyBorder="1"/>
    <xf numFmtId="2" fontId="1" fillId="0" borderId="12" xfId="0" applyNumberFormat="1" applyFont="1" applyBorder="1"/>
    <xf numFmtId="2" fontId="6" fillId="2" borderId="9" xfId="0" applyNumberFormat="1" applyFont="1" applyFill="1" applyBorder="1"/>
    <xf numFmtId="2" fontId="1" fillId="0" borderId="9" xfId="0" applyNumberFormat="1" applyFont="1" applyBorder="1"/>
    <xf numFmtId="2" fontId="0" fillId="2" borderId="9" xfId="0" applyNumberFormat="1" applyFill="1" applyBorder="1" applyAlignment="1">
      <alignment horizontal="center" vertical="center"/>
    </xf>
    <xf numFmtId="2" fontId="8" fillId="2" borderId="9" xfId="0" applyNumberFormat="1" applyFont="1" applyFill="1" applyBorder="1"/>
    <xf numFmtId="2" fontId="0" fillId="0" borderId="9" xfId="0" applyNumberFormat="1" applyBorder="1"/>
    <xf numFmtId="2" fontId="0" fillId="0" borderId="9" xfId="0" applyNumberFormat="1" applyBorder="1" applyAlignment="1">
      <alignment horizontal="center"/>
    </xf>
    <xf numFmtId="0" fontId="1" fillId="8" borderId="6" xfId="0" applyFont="1" applyFill="1" applyBorder="1"/>
    <xf numFmtId="2" fontId="6" fillId="8" borderId="6" xfId="0" applyNumberFormat="1" applyFont="1" applyFill="1" applyBorder="1" applyAlignment="1">
      <alignment horizontal="center"/>
    </xf>
    <xf numFmtId="2" fontId="1" fillId="8" borderId="6" xfId="0" applyNumberFormat="1" applyFont="1" applyFill="1" applyBorder="1" applyAlignment="1">
      <alignment horizontal="center"/>
    </xf>
    <xf numFmtId="0" fontId="3" fillId="8" borderId="6" xfId="0" applyFont="1" applyFill="1" applyBorder="1"/>
    <xf numFmtId="2" fontId="8" fillId="0" borderId="4" xfId="0" applyNumberFormat="1" applyFont="1" applyBorder="1" applyAlignment="1">
      <alignment horizontal="center"/>
    </xf>
    <xf numFmtId="2" fontId="8" fillId="0" borderId="5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36"/>
  <sheetViews>
    <sheetView tabSelected="1" topLeftCell="B1" zoomScale="90" zoomScaleNormal="90" workbookViewId="0">
      <pane xSplit="1" ySplit="3" topLeftCell="C270" activePane="bottomRight" state="frozen"/>
      <selection activeCell="B1" sqref="B1"/>
      <selection pane="topRight" activeCell="C1" sqref="C1"/>
      <selection pane="bottomLeft" activeCell="B4" sqref="B4"/>
      <selection pane="bottomRight" activeCell="I11" sqref="I11"/>
    </sheetView>
  </sheetViews>
  <sheetFormatPr defaultRowHeight="14.4" x14ac:dyDescent="0.3"/>
  <cols>
    <col min="1" max="1" width="10.44140625" bestFit="1" customWidth="1"/>
    <col min="2" max="2" width="53.44140625" bestFit="1" customWidth="1"/>
    <col min="3" max="3" width="13.21875" style="9" customWidth="1"/>
    <col min="4" max="4" width="12.6640625" style="6" customWidth="1"/>
    <col min="5" max="5" width="17.44140625" style="6" customWidth="1"/>
    <col min="6" max="6" width="11.5546875" style="6" customWidth="1"/>
    <col min="7" max="7" width="12.5546875" style="6" customWidth="1"/>
    <col min="8" max="12" width="11.5546875" style="6" customWidth="1"/>
    <col min="13" max="13" width="7.21875" bestFit="1" customWidth="1"/>
    <col min="14" max="14" width="8.109375" bestFit="1" customWidth="1"/>
    <col min="15" max="15" width="7.5546875" bestFit="1" customWidth="1"/>
    <col min="16" max="16" width="12.109375" bestFit="1" customWidth="1"/>
    <col min="17" max="17" width="15.33203125" style="2" bestFit="1" customWidth="1"/>
    <col min="18" max="18" width="4.44140625" bestFit="1" customWidth="1"/>
    <col min="19" max="19" width="7" bestFit="1" customWidth="1"/>
    <col min="20" max="20" width="6.6640625" bestFit="1" customWidth="1"/>
    <col min="21" max="21" width="4.44140625" bestFit="1" customWidth="1"/>
    <col min="22" max="22" width="7" bestFit="1" customWidth="1"/>
    <col min="23" max="23" width="6.6640625" bestFit="1" customWidth="1"/>
    <col min="24" max="24" width="4.44140625" bestFit="1" customWidth="1"/>
    <col min="25" max="25" width="7" bestFit="1" customWidth="1"/>
    <col min="26" max="26" width="6.6640625" bestFit="1" customWidth="1"/>
    <col min="27" max="27" width="4.44140625" style="4" bestFit="1" customWidth="1"/>
    <col min="28" max="28" width="7" bestFit="1" customWidth="1"/>
    <col min="29" max="29" width="6.6640625" style="2" bestFit="1" customWidth="1"/>
  </cols>
  <sheetData>
    <row r="1" spans="1:29" x14ac:dyDescent="0.3">
      <c r="D1" s="8">
        <v>2.2999999999999998</v>
      </c>
      <c r="E1" s="8"/>
      <c r="F1" s="8"/>
      <c r="G1" s="8">
        <v>1.5</v>
      </c>
      <c r="H1" s="8"/>
      <c r="I1" s="8"/>
      <c r="J1" s="8"/>
      <c r="K1" s="8"/>
      <c r="L1" s="8"/>
      <c r="M1" s="7"/>
      <c r="N1" s="7"/>
    </row>
    <row r="2" spans="1:29" ht="15" thickBot="1" x14ac:dyDescent="0.35">
      <c r="C2" s="110" t="s">
        <v>566</v>
      </c>
      <c r="D2" s="111"/>
      <c r="E2" s="52" t="s">
        <v>623</v>
      </c>
      <c r="F2" s="10"/>
      <c r="G2" s="9"/>
      <c r="H2" s="8"/>
      <c r="I2" s="9"/>
      <c r="J2" s="8"/>
      <c r="K2" s="9"/>
      <c r="L2" s="8"/>
      <c r="Q2"/>
      <c r="AA2"/>
      <c r="AC2"/>
    </row>
    <row r="3" spans="1:29" ht="31.8" thickBot="1" x14ac:dyDescent="0.35">
      <c r="A3" s="67" t="s">
        <v>59</v>
      </c>
      <c r="B3" s="86" t="s">
        <v>563</v>
      </c>
      <c r="C3" s="87" t="s">
        <v>564</v>
      </c>
      <c r="D3" s="88" t="s">
        <v>565</v>
      </c>
      <c r="E3" s="70" t="s">
        <v>585</v>
      </c>
      <c r="F3" s="70" t="s">
        <v>582</v>
      </c>
      <c r="G3" s="71" t="s">
        <v>579</v>
      </c>
      <c r="H3" s="71" t="s">
        <v>582</v>
      </c>
      <c r="I3" s="72" t="s">
        <v>580</v>
      </c>
      <c r="J3" s="72" t="s">
        <v>582</v>
      </c>
      <c r="K3" s="73" t="s">
        <v>581</v>
      </c>
      <c r="L3" s="73" t="s">
        <v>582</v>
      </c>
      <c r="M3" s="67" t="s">
        <v>419</v>
      </c>
      <c r="N3" s="67" t="s">
        <v>420</v>
      </c>
      <c r="O3" s="67" t="s">
        <v>421</v>
      </c>
      <c r="P3" s="86" t="s">
        <v>409</v>
      </c>
      <c r="Q3" s="86" t="s">
        <v>409</v>
      </c>
      <c r="R3" s="86" t="s">
        <v>413</v>
      </c>
      <c r="S3" s="86" t="s">
        <v>414</v>
      </c>
      <c r="T3" s="86" t="s">
        <v>415</v>
      </c>
      <c r="U3" s="86" t="s">
        <v>416</v>
      </c>
      <c r="V3" s="86" t="s">
        <v>417</v>
      </c>
      <c r="W3" s="86" t="s">
        <v>418</v>
      </c>
      <c r="X3" s="86" t="s">
        <v>422</v>
      </c>
      <c r="Y3" s="86" t="s">
        <v>423</v>
      </c>
      <c r="Z3" s="86" t="s">
        <v>424</v>
      </c>
      <c r="AA3" s="86" t="s">
        <v>469</v>
      </c>
      <c r="AB3" s="86" t="s">
        <v>470</v>
      </c>
      <c r="AC3" s="86" t="s">
        <v>471</v>
      </c>
    </row>
    <row r="4" spans="1:29" x14ac:dyDescent="0.3">
      <c r="A4" s="43" t="s">
        <v>472</v>
      </c>
      <c r="B4" s="44" t="s">
        <v>562</v>
      </c>
      <c r="C4" s="53">
        <v>30</v>
      </c>
      <c r="D4" s="45">
        <f>PRODUCT(C4,$D$1)</f>
        <v>69</v>
      </c>
      <c r="E4" s="45">
        <v>14.3</v>
      </c>
      <c r="F4" s="85">
        <f>D4+E4</f>
        <v>83.3</v>
      </c>
      <c r="G4" s="45">
        <f>PRODUCT(E4,$G$1)</f>
        <v>21.450000000000003</v>
      </c>
      <c r="H4" s="48"/>
      <c r="I4" s="45"/>
      <c r="J4" s="49"/>
      <c r="K4" s="45"/>
      <c r="L4" s="50"/>
      <c r="M4" s="51">
        <v>150</v>
      </c>
      <c r="N4" s="51">
        <v>720</v>
      </c>
      <c r="O4" s="51">
        <v>560</v>
      </c>
      <c r="P4" s="43" t="s">
        <v>410</v>
      </c>
      <c r="Q4" s="43" t="s">
        <v>411</v>
      </c>
      <c r="R4" s="43">
        <v>1</v>
      </c>
      <c r="S4" s="43">
        <v>715</v>
      </c>
      <c r="T4" s="43">
        <v>145</v>
      </c>
      <c r="U4" s="43"/>
      <c r="V4" s="43"/>
      <c r="W4" s="43"/>
      <c r="X4" s="43"/>
      <c r="Y4" s="43"/>
      <c r="Z4" s="43"/>
      <c r="AA4" s="43"/>
      <c r="AB4" s="43"/>
      <c r="AC4" s="43"/>
    </row>
    <row r="5" spans="1:29" x14ac:dyDescent="0.3">
      <c r="A5" s="14" t="s">
        <v>1</v>
      </c>
      <c r="B5" s="15" t="s">
        <v>2</v>
      </c>
      <c r="C5" s="54">
        <v>34.1</v>
      </c>
      <c r="D5" s="16">
        <f t="shared" ref="D5:D13" si="0">PRODUCT(C5,$D$1)</f>
        <v>78.429999999999993</v>
      </c>
      <c r="E5" s="16">
        <v>24.45</v>
      </c>
      <c r="F5" s="31">
        <f t="shared" ref="F5:F13" si="1">D5+E5</f>
        <v>102.88</v>
      </c>
      <c r="G5" s="45">
        <f t="shared" ref="G5:G13" si="2">PRODUCT(E5,$G$1)</f>
        <v>36.674999999999997</v>
      </c>
      <c r="H5" s="19"/>
      <c r="I5" s="16"/>
      <c r="J5" s="20"/>
      <c r="K5" s="16"/>
      <c r="L5" s="21"/>
      <c r="M5" s="22">
        <v>300</v>
      </c>
      <c r="N5" s="22">
        <v>720</v>
      </c>
      <c r="O5" s="22">
        <v>560</v>
      </c>
      <c r="P5" s="14" t="s">
        <v>410</v>
      </c>
      <c r="Q5" s="14" t="s">
        <v>411</v>
      </c>
      <c r="R5" s="14">
        <v>1</v>
      </c>
      <c r="S5" s="14">
        <v>715</v>
      </c>
      <c r="T5" s="14">
        <v>295</v>
      </c>
      <c r="U5" s="14"/>
      <c r="V5" s="14"/>
      <c r="W5" s="14"/>
      <c r="X5" s="14"/>
      <c r="Y5" s="14"/>
      <c r="Z5" s="14"/>
      <c r="AA5" s="14"/>
      <c r="AB5" s="14"/>
      <c r="AC5" s="14"/>
    </row>
    <row r="6" spans="1:29" x14ac:dyDescent="0.3">
      <c r="A6" s="14" t="s">
        <v>3</v>
      </c>
      <c r="B6" s="15" t="s">
        <v>4</v>
      </c>
      <c r="C6" s="54">
        <v>35.200000000000003</v>
      </c>
      <c r="D6" s="16">
        <f t="shared" si="0"/>
        <v>80.959999999999994</v>
      </c>
      <c r="E6" s="16">
        <v>29.11</v>
      </c>
      <c r="F6" s="31">
        <f t="shared" si="1"/>
        <v>110.07</v>
      </c>
      <c r="G6" s="45">
        <f t="shared" si="2"/>
        <v>43.664999999999999</v>
      </c>
      <c r="H6" s="19"/>
      <c r="I6" s="16"/>
      <c r="J6" s="20"/>
      <c r="K6" s="16"/>
      <c r="L6" s="21"/>
      <c r="M6" s="22">
        <v>400</v>
      </c>
      <c r="N6" s="22">
        <v>720</v>
      </c>
      <c r="O6" s="22">
        <v>560</v>
      </c>
      <c r="P6" s="14" t="s">
        <v>410</v>
      </c>
      <c r="Q6" s="14" t="s">
        <v>411</v>
      </c>
      <c r="R6" s="14">
        <v>1</v>
      </c>
      <c r="S6" s="14">
        <v>715</v>
      </c>
      <c r="T6" s="14">
        <v>395</v>
      </c>
      <c r="U6" s="14"/>
      <c r="V6" s="14"/>
      <c r="W6" s="14"/>
      <c r="X6" s="14"/>
      <c r="Y6" s="14"/>
      <c r="Z6" s="14"/>
      <c r="AA6" s="14"/>
      <c r="AB6" s="14"/>
      <c r="AC6" s="14"/>
    </row>
    <row r="7" spans="1:29" x14ac:dyDescent="0.3">
      <c r="A7" s="14" t="s">
        <v>5</v>
      </c>
      <c r="B7" s="15" t="s">
        <v>6</v>
      </c>
      <c r="C7" s="54">
        <v>36.299999999999997</v>
      </c>
      <c r="D7" s="16">
        <f t="shared" si="0"/>
        <v>83.489999999999981</v>
      </c>
      <c r="E7" s="16">
        <v>31.32</v>
      </c>
      <c r="F7" s="31">
        <f t="shared" si="1"/>
        <v>114.80999999999997</v>
      </c>
      <c r="G7" s="45">
        <f t="shared" si="2"/>
        <v>46.980000000000004</v>
      </c>
      <c r="H7" s="19"/>
      <c r="I7" s="16"/>
      <c r="J7" s="20"/>
      <c r="K7" s="16"/>
      <c r="L7" s="21"/>
      <c r="M7" s="22">
        <v>450</v>
      </c>
      <c r="N7" s="22">
        <v>720</v>
      </c>
      <c r="O7" s="22">
        <v>560</v>
      </c>
      <c r="P7" s="14" t="s">
        <v>410</v>
      </c>
      <c r="Q7" s="14" t="s">
        <v>411</v>
      </c>
      <c r="R7" s="14">
        <v>1</v>
      </c>
      <c r="S7" s="14">
        <v>715</v>
      </c>
      <c r="T7" s="14">
        <v>445</v>
      </c>
      <c r="U7" s="14"/>
      <c r="V7" s="14"/>
      <c r="W7" s="14"/>
      <c r="X7" s="14"/>
      <c r="Y7" s="14"/>
      <c r="Z7" s="14"/>
      <c r="AA7" s="14"/>
      <c r="AB7" s="14"/>
      <c r="AC7" s="14"/>
    </row>
    <row r="8" spans="1:29" x14ac:dyDescent="0.3">
      <c r="A8" s="14" t="s">
        <v>7</v>
      </c>
      <c r="B8" s="15" t="s">
        <v>8</v>
      </c>
      <c r="C8" s="54">
        <v>37.4</v>
      </c>
      <c r="D8" s="16">
        <f t="shared" si="0"/>
        <v>86.02</v>
      </c>
      <c r="E8" s="16">
        <v>32.22</v>
      </c>
      <c r="F8" s="31">
        <f t="shared" si="1"/>
        <v>118.24</v>
      </c>
      <c r="G8" s="45">
        <f t="shared" si="2"/>
        <v>48.33</v>
      </c>
      <c r="H8" s="19"/>
      <c r="I8" s="16"/>
      <c r="J8" s="20"/>
      <c r="K8" s="16"/>
      <c r="L8" s="21"/>
      <c r="M8" s="22">
        <v>500</v>
      </c>
      <c r="N8" s="22">
        <v>720</v>
      </c>
      <c r="O8" s="22">
        <v>560</v>
      </c>
      <c r="P8" s="14" t="s">
        <v>410</v>
      </c>
      <c r="Q8" s="14" t="s">
        <v>411</v>
      </c>
      <c r="R8" s="14">
        <v>1</v>
      </c>
      <c r="S8" s="14">
        <v>715</v>
      </c>
      <c r="T8" s="14">
        <v>495</v>
      </c>
      <c r="U8" s="14"/>
      <c r="V8" s="14"/>
      <c r="W8" s="14"/>
      <c r="X8" s="14"/>
      <c r="Y8" s="14"/>
      <c r="Z8" s="14"/>
      <c r="AA8" s="14"/>
      <c r="AB8" s="14"/>
      <c r="AC8" s="14"/>
    </row>
    <row r="9" spans="1:29" x14ac:dyDescent="0.3">
      <c r="A9" s="14" t="s">
        <v>9</v>
      </c>
      <c r="B9" s="15" t="s">
        <v>10</v>
      </c>
      <c r="C9" s="54">
        <v>38.5</v>
      </c>
      <c r="D9" s="16">
        <f t="shared" si="0"/>
        <v>88.55</v>
      </c>
      <c r="E9" s="16">
        <v>38.44</v>
      </c>
      <c r="F9" s="31">
        <f t="shared" si="1"/>
        <v>126.99</v>
      </c>
      <c r="G9" s="45">
        <f t="shared" si="2"/>
        <v>57.66</v>
      </c>
      <c r="H9" s="19"/>
      <c r="I9" s="16"/>
      <c r="J9" s="20"/>
      <c r="K9" s="16"/>
      <c r="L9" s="21"/>
      <c r="M9" s="22">
        <v>600</v>
      </c>
      <c r="N9" s="22">
        <v>720</v>
      </c>
      <c r="O9" s="22">
        <v>560</v>
      </c>
      <c r="P9" s="14" t="s">
        <v>410</v>
      </c>
      <c r="Q9" s="14" t="s">
        <v>411</v>
      </c>
      <c r="R9" s="14">
        <v>1</v>
      </c>
      <c r="S9" s="14">
        <v>715</v>
      </c>
      <c r="T9" s="14">
        <v>595</v>
      </c>
      <c r="U9" s="14"/>
      <c r="V9" s="14"/>
      <c r="W9" s="14"/>
      <c r="X9" s="14"/>
      <c r="Y9" s="14"/>
      <c r="Z9" s="14"/>
      <c r="AA9" s="14"/>
      <c r="AB9" s="14"/>
      <c r="AC9" s="14"/>
    </row>
    <row r="10" spans="1:29" x14ac:dyDescent="0.3">
      <c r="A10" s="14" t="s">
        <v>11</v>
      </c>
      <c r="B10" s="15" t="s">
        <v>12</v>
      </c>
      <c r="C10" s="54">
        <v>42.9</v>
      </c>
      <c r="D10" s="16">
        <f t="shared" si="0"/>
        <v>98.669999999999987</v>
      </c>
      <c r="E10" s="16">
        <v>58.22</v>
      </c>
      <c r="F10" s="31">
        <f t="shared" si="1"/>
        <v>156.88999999999999</v>
      </c>
      <c r="G10" s="45">
        <f t="shared" si="2"/>
        <v>87.33</v>
      </c>
      <c r="H10" s="19"/>
      <c r="I10" s="16"/>
      <c r="J10" s="20"/>
      <c r="K10" s="16"/>
      <c r="L10" s="21"/>
      <c r="M10" s="22">
        <v>800</v>
      </c>
      <c r="N10" s="22">
        <v>720</v>
      </c>
      <c r="O10" s="22">
        <v>560</v>
      </c>
      <c r="P10" s="14" t="s">
        <v>410</v>
      </c>
      <c r="Q10" s="14" t="s">
        <v>411</v>
      </c>
      <c r="R10" s="14">
        <v>2</v>
      </c>
      <c r="S10" s="14">
        <v>715</v>
      </c>
      <c r="T10" s="14">
        <v>395</v>
      </c>
      <c r="U10" s="14"/>
      <c r="V10" s="14"/>
      <c r="W10" s="14"/>
      <c r="X10" s="14"/>
      <c r="Y10" s="14"/>
      <c r="Z10" s="14"/>
      <c r="AA10" s="14"/>
      <c r="AB10" s="14"/>
      <c r="AC10" s="14"/>
    </row>
    <row r="11" spans="1:29" x14ac:dyDescent="0.3">
      <c r="A11" s="14" t="s">
        <v>13</v>
      </c>
      <c r="B11" s="15" t="s">
        <v>14</v>
      </c>
      <c r="C11" s="54">
        <v>44</v>
      </c>
      <c r="D11" s="16">
        <f>PRODUCT(C11,$D$1)</f>
        <v>101.19999999999999</v>
      </c>
      <c r="E11" s="16">
        <v>62.64</v>
      </c>
      <c r="F11" s="31">
        <f t="shared" si="1"/>
        <v>163.83999999999997</v>
      </c>
      <c r="G11" s="45">
        <f t="shared" si="2"/>
        <v>93.960000000000008</v>
      </c>
      <c r="H11" s="19"/>
      <c r="I11" s="16"/>
      <c r="J11" s="20"/>
      <c r="K11" s="16"/>
      <c r="L11" s="21"/>
      <c r="M11" s="22">
        <v>900</v>
      </c>
      <c r="N11" s="22">
        <v>720</v>
      </c>
      <c r="O11" s="22">
        <v>560</v>
      </c>
      <c r="P11" s="14" t="s">
        <v>410</v>
      </c>
      <c r="Q11" s="14" t="s">
        <v>411</v>
      </c>
      <c r="R11" s="14">
        <v>2</v>
      </c>
      <c r="S11" s="14">
        <v>715</v>
      </c>
      <c r="T11" s="14">
        <v>445</v>
      </c>
      <c r="U11" s="14"/>
      <c r="V11" s="14"/>
      <c r="W11" s="14"/>
      <c r="X11" s="14"/>
      <c r="Y11" s="14"/>
      <c r="Z11" s="14"/>
      <c r="AA11" s="14"/>
      <c r="AB11" s="14"/>
      <c r="AC11" s="14"/>
    </row>
    <row r="12" spans="1:29" x14ac:dyDescent="0.3">
      <c r="A12" s="14" t="s">
        <v>15</v>
      </c>
      <c r="B12" s="15" t="s">
        <v>16</v>
      </c>
      <c r="C12" s="54">
        <v>45.1</v>
      </c>
      <c r="D12" s="16">
        <f t="shared" si="0"/>
        <v>103.72999999999999</v>
      </c>
      <c r="E12" s="16">
        <v>64.44</v>
      </c>
      <c r="F12" s="31">
        <f t="shared" si="1"/>
        <v>168.17</v>
      </c>
      <c r="G12" s="45">
        <f t="shared" si="2"/>
        <v>96.66</v>
      </c>
      <c r="H12" s="19"/>
      <c r="I12" s="16"/>
      <c r="J12" s="20"/>
      <c r="K12" s="16"/>
      <c r="L12" s="21"/>
      <c r="M12" s="22">
        <v>1000</v>
      </c>
      <c r="N12" s="22">
        <v>720</v>
      </c>
      <c r="O12" s="22">
        <v>560</v>
      </c>
      <c r="P12" s="14" t="s">
        <v>410</v>
      </c>
      <c r="Q12" s="14" t="s">
        <v>411</v>
      </c>
      <c r="R12" s="14">
        <v>2</v>
      </c>
      <c r="S12" s="14">
        <v>715</v>
      </c>
      <c r="T12" s="14">
        <v>495</v>
      </c>
      <c r="U12" s="14"/>
      <c r="V12" s="14"/>
      <c r="W12" s="14"/>
      <c r="X12" s="14"/>
      <c r="Y12" s="14"/>
      <c r="Z12" s="14"/>
      <c r="AA12" s="14"/>
      <c r="AB12" s="14"/>
      <c r="AC12" s="14"/>
    </row>
    <row r="13" spans="1:29" x14ac:dyDescent="0.3">
      <c r="A13" s="14" t="s">
        <v>17</v>
      </c>
      <c r="B13" s="15" t="s">
        <v>18</v>
      </c>
      <c r="C13" s="54">
        <v>47.3</v>
      </c>
      <c r="D13" s="16">
        <f t="shared" si="0"/>
        <v>108.78999999999999</v>
      </c>
      <c r="E13" s="16">
        <v>76.88</v>
      </c>
      <c r="F13" s="31">
        <f t="shared" si="1"/>
        <v>185.67</v>
      </c>
      <c r="G13" s="45">
        <f t="shared" si="2"/>
        <v>115.32</v>
      </c>
      <c r="H13" s="19"/>
      <c r="I13" s="16"/>
      <c r="J13" s="20"/>
      <c r="K13" s="16"/>
      <c r="L13" s="21"/>
      <c r="M13" s="22">
        <v>1200</v>
      </c>
      <c r="N13" s="22">
        <v>720</v>
      </c>
      <c r="O13" s="22">
        <v>560</v>
      </c>
      <c r="P13" s="14" t="s">
        <v>410</v>
      </c>
      <c r="Q13" s="14" t="s">
        <v>411</v>
      </c>
      <c r="R13" s="14">
        <v>2</v>
      </c>
      <c r="S13" s="14">
        <v>715</v>
      </c>
      <c r="T13" s="14">
        <v>595</v>
      </c>
      <c r="U13" s="14"/>
      <c r="V13" s="14"/>
      <c r="W13" s="14"/>
      <c r="X13" s="14"/>
      <c r="Y13" s="14"/>
      <c r="Z13" s="14"/>
      <c r="AA13" s="14"/>
      <c r="AB13" s="14"/>
      <c r="AC13" s="14"/>
    </row>
    <row r="14" spans="1:29" x14ac:dyDescent="0.3">
      <c r="A14" s="14"/>
      <c r="B14" s="25" t="s">
        <v>19</v>
      </c>
      <c r="C14" s="54"/>
      <c r="D14" s="16"/>
      <c r="E14" s="16"/>
      <c r="F14" s="31"/>
      <c r="G14" s="16"/>
      <c r="H14" s="19"/>
      <c r="I14" s="16"/>
      <c r="J14" s="20"/>
      <c r="K14" s="16"/>
      <c r="L14" s="21"/>
      <c r="M14" s="22"/>
      <c r="N14" s="22"/>
      <c r="O14" s="22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 x14ac:dyDescent="0.3">
      <c r="A15" s="14"/>
      <c r="B15" s="25" t="s">
        <v>20</v>
      </c>
      <c r="C15" s="54"/>
      <c r="D15" s="16"/>
      <c r="E15" s="16"/>
      <c r="F15" s="31"/>
      <c r="G15" s="16"/>
      <c r="H15" s="19"/>
      <c r="I15" s="16"/>
      <c r="J15" s="20"/>
      <c r="K15" s="16"/>
      <c r="L15" s="21"/>
      <c r="M15" s="22"/>
      <c r="N15" s="22"/>
      <c r="O15" s="22"/>
      <c r="P15" s="14"/>
      <c r="Q15" s="14"/>
      <c r="R15" s="14">
        <v>1</v>
      </c>
      <c r="S15" s="14">
        <v>715</v>
      </c>
      <c r="T15" s="14">
        <v>595</v>
      </c>
      <c r="U15" s="14"/>
      <c r="V15" s="14"/>
      <c r="W15" s="14"/>
      <c r="X15" s="14"/>
      <c r="Y15" s="14"/>
      <c r="Z15" s="14"/>
      <c r="AA15" s="14"/>
      <c r="AB15" s="14"/>
      <c r="AC15" s="14"/>
    </row>
    <row r="16" spans="1:29" x14ac:dyDescent="0.3">
      <c r="A16" s="14" t="s">
        <v>21</v>
      </c>
      <c r="B16" s="15" t="s">
        <v>22</v>
      </c>
      <c r="C16" s="54"/>
      <c r="D16" s="16"/>
      <c r="E16" s="16"/>
      <c r="F16" s="31"/>
      <c r="G16" s="16"/>
      <c r="H16" s="19"/>
      <c r="I16" s="16"/>
      <c r="J16" s="20"/>
      <c r="K16" s="16"/>
      <c r="L16" s="21"/>
      <c r="M16" s="22"/>
      <c r="N16" s="22"/>
      <c r="O16" s="22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 x14ac:dyDescent="0.3">
      <c r="A17" s="14"/>
      <c r="B17" s="15"/>
      <c r="C17" s="54"/>
      <c r="D17" s="16"/>
      <c r="E17" s="16"/>
      <c r="F17" s="31"/>
      <c r="G17" s="16"/>
      <c r="H17" s="19"/>
      <c r="I17" s="16"/>
      <c r="J17" s="20"/>
      <c r="K17" s="16"/>
      <c r="L17" s="21"/>
      <c r="M17" s="22"/>
      <c r="N17" s="22"/>
      <c r="O17" s="22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 x14ac:dyDescent="0.3">
      <c r="A18" s="14" t="s">
        <v>23</v>
      </c>
      <c r="B18" s="15" t="s">
        <v>24</v>
      </c>
      <c r="C18" s="54">
        <v>55.1</v>
      </c>
      <c r="D18" s="16">
        <f t="shared" ref="D18:D26" si="3">PRODUCT(C18,$D$1)</f>
        <v>126.72999999999999</v>
      </c>
      <c r="E18" s="16">
        <v>29.25</v>
      </c>
      <c r="F18" s="31"/>
      <c r="G18" s="16">
        <f t="shared" ref="G18:G26" si="4">PRODUCT(E18,$G$1)</f>
        <v>43.875</v>
      </c>
      <c r="H18" s="19"/>
      <c r="I18" s="16"/>
      <c r="J18" s="20"/>
      <c r="K18" s="16"/>
      <c r="L18" s="21"/>
      <c r="M18" s="22">
        <v>300</v>
      </c>
      <c r="N18" s="22">
        <v>720</v>
      </c>
      <c r="O18" s="22">
        <v>560</v>
      </c>
      <c r="P18" s="14" t="s">
        <v>410</v>
      </c>
      <c r="Q18" s="14" t="s">
        <v>412</v>
      </c>
      <c r="R18" s="14">
        <v>1</v>
      </c>
      <c r="S18" s="14">
        <v>570</v>
      </c>
      <c r="T18" s="14">
        <v>295</v>
      </c>
      <c r="U18" s="14">
        <v>1</v>
      </c>
      <c r="V18" s="14">
        <v>140</v>
      </c>
      <c r="W18" s="14">
        <v>295</v>
      </c>
      <c r="X18" s="14"/>
      <c r="Y18" s="14"/>
      <c r="Z18" s="14"/>
      <c r="AA18" s="14"/>
      <c r="AB18" s="14"/>
      <c r="AC18" s="14"/>
    </row>
    <row r="19" spans="1:29" x14ac:dyDescent="0.3">
      <c r="A19" s="14" t="s">
        <v>25</v>
      </c>
      <c r="B19" s="15" t="s">
        <v>26</v>
      </c>
      <c r="C19" s="54">
        <v>56.2</v>
      </c>
      <c r="D19" s="16">
        <f t="shared" si="3"/>
        <v>129.26</v>
      </c>
      <c r="E19" s="16">
        <v>33.61</v>
      </c>
      <c r="F19" s="31"/>
      <c r="G19" s="16">
        <f t="shared" si="4"/>
        <v>50.414999999999999</v>
      </c>
      <c r="H19" s="19"/>
      <c r="I19" s="16"/>
      <c r="J19" s="20"/>
      <c r="K19" s="16"/>
      <c r="L19" s="21"/>
      <c r="M19" s="22">
        <v>400</v>
      </c>
      <c r="N19" s="22">
        <v>720</v>
      </c>
      <c r="O19" s="22">
        <v>560</v>
      </c>
      <c r="P19" s="14" t="s">
        <v>410</v>
      </c>
      <c r="Q19" s="14" t="s">
        <v>412</v>
      </c>
      <c r="R19" s="14">
        <v>1</v>
      </c>
      <c r="S19" s="14">
        <v>570</v>
      </c>
      <c r="T19" s="14">
        <v>395</v>
      </c>
      <c r="U19" s="14">
        <v>1</v>
      </c>
      <c r="V19" s="14">
        <v>140</v>
      </c>
      <c r="W19" s="14">
        <v>395</v>
      </c>
      <c r="X19" s="14"/>
      <c r="Y19" s="14"/>
      <c r="Z19" s="14"/>
      <c r="AA19" s="14"/>
      <c r="AB19" s="14"/>
      <c r="AC19" s="14"/>
    </row>
    <row r="20" spans="1:29" x14ac:dyDescent="0.3">
      <c r="A20" s="14" t="s">
        <v>27</v>
      </c>
      <c r="B20" s="15" t="s">
        <v>28</v>
      </c>
      <c r="C20" s="54">
        <v>57.3</v>
      </c>
      <c r="D20" s="16">
        <f t="shared" si="3"/>
        <v>131.79</v>
      </c>
      <c r="E20" s="16">
        <v>36.26</v>
      </c>
      <c r="F20" s="31"/>
      <c r="G20" s="16">
        <f t="shared" si="4"/>
        <v>54.39</v>
      </c>
      <c r="H20" s="19"/>
      <c r="I20" s="16"/>
      <c r="J20" s="20"/>
      <c r="K20" s="16"/>
      <c r="L20" s="21"/>
      <c r="M20" s="22">
        <v>450</v>
      </c>
      <c r="N20" s="22">
        <v>720</v>
      </c>
      <c r="O20" s="22">
        <v>560</v>
      </c>
      <c r="P20" s="14" t="s">
        <v>410</v>
      </c>
      <c r="Q20" s="14" t="s">
        <v>412</v>
      </c>
      <c r="R20" s="14">
        <v>1</v>
      </c>
      <c r="S20" s="14">
        <v>570</v>
      </c>
      <c r="T20" s="14">
        <v>445</v>
      </c>
      <c r="U20" s="14">
        <v>1</v>
      </c>
      <c r="V20" s="14">
        <v>140</v>
      </c>
      <c r="W20" s="14">
        <v>445</v>
      </c>
      <c r="X20" s="14"/>
      <c r="Y20" s="14"/>
      <c r="Z20" s="14"/>
      <c r="AA20" s="14"/>
      <c r="AB20" s="14"/>
      <c r="AC20" s="14"/>
    </row>
    <row r="21" spans="1:29" x14ac:dyDescent="0.3">
      <c r="A21" s="14" t="s">
        <v>29</v>
      </c>
      <c r="B21" s="15" t="s">
        <v>30</v>
      </c>
      <c r="C21" s="54">
        <v>58.4</v>
      </c>
      <c r="D21" s="16">
        <f t="shared" si="3"/>
        <v>134.32</v>
      </c>
      <c r="E21" s="16">
        <v>38.909999999999997</v>
      </c>
      <c r="F21" s="31"/>
      <c r="G21" s="16">
        <f t="shared" si="4"/>
        <v>58.364999999999995</v>
      </c>
      <c r="H21" s="19"/>
      <c r="I21" s="16"/>
      <c r="J21" s="20"/>
      <c r="K21" s="16"/>
      <c r="L21" s="21"/>
      <c r="M21" s="22">
        <v>500</v>
      </c>
      <c r="N21" s="22">
        <v>720</v>
      </c>
      <c r="O21" s="22">
        <v>560</v>
      </c>
      <c r="P21" s="14" t="s">
        <v>410</v>
      </c>
      <c r="Q21" s="14" t="s">
        <v>412</v>
      </c>
      <c r="R21" s="14">
        <v>1</v>
      </c>
      <c r="S21" s="14">
        <v>570</v>
      </c>
      <c r="T21" s="14">
        <v>495</v>
      </c>
      <c r="U21" s="14">
        <v>1</v>
      </c>
      <c r="V21" s="14">
        <v>140</v>
      </c>
      <c r="W21" s="14">
        <v>495</v>
      </c>
      <c r="X21" s="14"/>
      <c r="Y21" s="14"/>
      <c r="Z21" s="14"/>
      <c r="AA21" s="14"/>
      <c r="AB21" s="14"/>
      <c r="AC21" s="14"/>
    </row>
    <row r="22" spans="1:29" x14ac:dyDescent="0.3">
      <c r="A22" s="14" t="s">
        <v>31</v>
      </c>
      <c r="B22" s="15" t="s">
        <v>32</v>
      </c>
      <c r="C22" s="54">
        <v>59.5</v>
      </c>
      <c r="D22" s="16">
        <f t="shared" si="3"/>
        <v>136.85</v>
      </c>
      <c r="E22" s="16">
        <v>43.62</v>
      </c>
      <c r="F22" s="31"/>
      <c r="G22" s="16">
        <f t="shared" si="4"/>
        <v>65.429999999999993</v>
      </c>
      <c r="H22" s="19"/>
      <c r="I22" s="16"/>
      <c r="J22" s="20"/>
      <c r="K22" s="16"/>
      <c r="L22" s="21"/>
      <c r="M22" s="22">
        <v>600</v>
      </c>
      <c r="N22" s="22">
        <v>720</v>
      </c>
      <c r="O22" s="22">
        <v>560</v>
      </c>
      <c r="P22" s="14" t="s">
        <v>410</v>
      </c>
      <c r="Q22" s="14" t="s">
        <v>412</v>
      </c>
      <c r="R22" s="14">
        <v>1</v>
      </c>
      <c r="S22" s="14">
        <v>570</v>
      </c>
      <c r="T22" s="14">
        <v>595</v>
      </c>
      <c r="U22" s="14">
        <v>1</v>
      </c>
      <c r="V22" s="14">
        <v>140</v>
      </c>
      <c r="W22" s="14">
        <v>595</v>
      </c>
      <c r="X22" s="14"/>
      <c r="Y22" s="14"/>
      <c r="Z22" s="14"/>
      <c r="AA22" s="14"/>
      <c r="AB22" s="14"/>
      <c r="AC22" s="14"/>
    </row>
    <row r="23" spans="1:29" x14ac:dyDescent="0.3">
      <c r="A23" s="14" t="s">
        <v>33</v>
      </c>
      <c r="B23" s="15" t="s">
        <v>34</v>
      </c>
      <c r="C23" s="54">
        <v>74.900000000000006</v>
      </c>
      <c r="D23" s="16">
        <f t="shared" si="3"/>
        <v>172.27</v>
      </c>
      <c r="E23" s="16">
        <v>67.22</v>
      </c>
      <c r="F23" s="31"/>
      <c r="G23" s="16">
        <f t="shared" si="4"/>
        <v>100.83</v>
      </c>
      <c r="H23" s="19"/>
      <c r="I23" s="16"/>
      <c r="J23" s="20"/>
      <c r="K23" s="16"/>
      <c r="L23" s="21"/>
      <c r="M23" s="22">
        <v>800</v>
      </c>
      <c r="N23" s="22">
        <v>720</v>
      </c>
      <c r="O23" s="22">
        <v>560</v>
      </c>
      <c r="P23" s="14" t="s">
        <v>410</v>
      </c>
      <c r="Q23" s="14" t="s">
        <v>412</v>
      </c>
      <c r="R23" s="14">
        <v>2</v>
      </c>
      <c r="S23" s="14">
        <v>570</v>
      </c>
      <c r="T23" s="14">
        <v>395</v>
      </c>
      <c r="U23" s="14">
        <v>2</v>
      </c>
      <c r="V23" s="14">
        <v>140</v>
      </c>
      <c r="W23" s="14">
        <v>395</v>
      </c>
      <c r="X23" s="14"/>
      <c r="Y23" s="14"/>
      <c r="Z23" s="14"/>
      <c r="AA23" s="14"/>
      <c r="AB23" s="14"/>
      <c r="AC23" s="14"/>
    </row>
    <row r="24" spans="1:29" x14ac:dyDescent="0.3">
      <c r="A24" s="14" t="s">
        <v>35</v>
      </c>
      <c r="B24" s="15" t="s">
        <v>36</v>
      </c>
      <c r="C24" s="54">
        <v>76</v>
      </c>
      <c r="D24" s="16">
        <f t="shared" si="3"/>
        <v>174.79999999999998</v>
      </c>
      <c r="E24" s="16">
        <v>72.52</v>
      </c>
      <c r="F24" s="31"/>
      <c r="G24" s="16">
        <f t="shared" si="4"/>
        <v>108.78</v>
      </c>
      <c r="H24" s="19"/>
      <c r="I24" s="16"/>
      <c r="J24" s="20"/>
      <c r="K24" s="16"/>
      <c r="L24" s="21"/>
      <c r="M24" s="22">
        <v>900</v>
      </c>
      <c r="N24" s="22">
        <v>720</v>
      </c>
      <c r="O24" s="22">
        <v>560</v>
      </c>
      <c r="P24" s="14" t="s">
        <v>410</v>
      </c>
      <c r="Q24" s="14" t="s">
        <v>412</v>
      </c>
      <c r="R24" s="14">
        <v>2</v>
      </c>
      <c r="S24" s="14">
        <v>570</v>
      </c>
      <c r="T24" s="14">
        <v>445</v>
      </c>
      <c r="U24" s="14">
        <v>2</v>
      </c>
      <c r="V24" s="14">
        <v>140</v>
      </c>
      <c r="W24" s="14">
        <v>445</v>
      </c>
      <c r="X24" s="14"/>
      <c r="Y24" s="14"/>
      <c r="Z24" s="14"/>
      <c r="AA24" s="14"/>
      <c r="AB24" s="14"/>
      <c r="AC24" s="14"/>
    </row>
    <row r="25" spans="1:29" x14ac:dyDescent="0.3">
      <c r="A25" s="14" t="s">
        <v>37</v>
      </c>
      <c r="B25" s="15" t="s">
        <v>38</v>
      </c>
      <c r="C25" s="54">
        <v>77.099999999999994</v>
      </c>
      <c r="D25" s="16">
        <f t="shared" si="3"/>
        <v>177.32999999999998</v>
      </c>
      <c r="E25" s="16">
        <v>77.819999999999993</v>
      </c>
      <c r="F25" s="31"/>
      <c r="G25" s="16">
        <f t="shared" si="4"/>
        <v>116.72999999999999</v>
      </c>
      <c r="H25" s="19"/>
      <c r="I25" s="16"/>
      <c r="J25" s="20"/>
      <c r="K25" s="16"/>
      <c r="L25" s="21"/>
      <c r="M25" s="22">
        <v>1000</v>
      </c>
      <c r="N25" s="22">
        <v>720</v>
      </c>
      <c r="O25" s="22">
        <v>560</v>
      </c>
      <c r="P25" s="14" t="s">
        <v>410</v>
      </c>
      <c r="Q25" s="14" t="s">
        <v>412</v>
      </c>
      <c r="R25" s="14">
        <v>2</v>
      </c>
      <c r="S25" s="14">
        <v>570</v>
      </c>
      <c r="T25" s="14">
        <v>495</v>
      </c>
      <c r="U25" s="14">
        <v>2</v>
      </c>
      <c r="V25" s="14">
        <v>140</v>
      </c>
      <c r="W25" s="14">
        <v>495</v>
      </c>
      <c r="X25" s="14"/>
      <c r="Y25" s="14"/>
      <c r="Z25" s="14"/>
      <c r="AA25" s="14"/>
      <c r="AB25" s="14"/>
      <c r="AC25" s="14"/>
    </row>
    <row r="26" spans="1:29" x14ac:dyDescent="0.3">
      <c r="A26" s="14" t="s">
        <v>39</v>
      </c>
      <c r="B26" s="15" t="s">
        <v>40</v>
      </c>
      <c r="C26" s="54">
        <v>79.3</v>
      </c>
      <c r="D26" s="16">
        <f t="shared" si="3"/>
        <v>182.39</v>
      </c>
      <c r="E26" s="16">
        <v>87.24</v>
      </c>
      <c r="F26" s="31"/>
      <c r="G26" s="16">
        <f t="shared" si="4"/>
        <v>130.85999999999999</v>
      </c>
      <c r="H26" s="19"/>
      <c r="I26" s="16"/>
      <c r="J26" s="20"/>
      <c r="K26" s="16"/>
      <c r="L26" s="21"/>
      <c r="M26" s="22">
        <v>1200</v>
      </c>
      <c r="N26" s="22">
        <v>720</v>
      </c>
      <c r="O26" s="22">
        <v>560</v>
      </c>
      <c r="P26" s="14" t="s">
        <v>410</v>
      </c>
      <c r="Q26" s="14" t="s">
        <v>412</v>
      </c>
      <c r="R26" s="14">
        <v>2</v>
      </c>
      <c r="S26" s="14">
        <v>570</v>
      </c>
      <c r="T26" s="14">
        <v>595</v>
      </c>
      <c r="U26" s="14">
        <v>2</v>
      </c>
      <c r="V26" s="14">
        <v>140</v>
      </c>
      <c r="W26" s="14">
        <v>595</v>
      </c>
      <c r="X26" s="14"/>
      <c r="Y26" s="14"/>
      <c r="Z26" s="14"/>
      <c r="AA26" s="14"/>
      <c r="AB26" s="14"/>
      <c r="AC26" s="14"/>
    </row>
    <row r="27" spans="1:29" x14ac:dyDescent="0.3">
      <c r="A27" s="14"/>
      <c r="B27" s="25" t="s">
        <v>19</v>
      </c>
      <c r="C27" s="54"/>
      <c r="D27" s="16"/>
      <c r="E27" s="16"/>
      <c r="F27" s="31"/>
      <c r="G27" s="16"/>
      <c r="H27" s="19"/>
      <c r="I27" s="16"/>
      <c r="J27" s="20"/>
      <c r="K27" s="16"/>
      <c r="L27" s="21"/>
      <c r="M27" s="22"/>
      <c r="N27" s="22"/>
      <c r="O27" s="22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 x14ac:dyDescent="0.3">
      <c r="A28" s="14"/>
      <c r="B28" s="25" t="s">
        <v>586</v>
      </c>
      <c r="C28" s="54"/>
      <c r="D28" s="16"/>
      <c r="E28" s="16"/>
      <c r="F28" s="31"/>
      <c r="G28" s="16"/>
      <c r="H28" s="19"/>
      <c r="I28" s="16"/>
      <c r="J28" s="20"/>
      <c r="K28" s="16"/>
      <c r="L28" s="21"/>
      <c r="M28" s="22"/>
      <c r="N28" s="22"/>
      <c r="O28" s="22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 x14ac:dyDescent="0.3">
      <c r="A29" s="14"/>
      <c r="B29" s="25" t="s">
        <v>41</v>
      </c>
      <c r="C29" s="54"/>
      <c r="D29" s="16"/>
      <c r="E29" s="16"/>
      <c r="F29" s="31"/>
      <c r="G29" s="16"/>
      <c r="H29" s="19"/>
      <c r="I29" s="16"/>
      <c r="J29" s="20"/>
      <c r="K29" s="16"/>
      <c r="L29" s="21"/>
      <c r="M29" s="22"/>
      <c r="N29" s="22"/>
      <c r="O29" s="22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 x14ac:dyDescent="0.3">
      <c r="A30" s="14"/>
      <c r="B30" s="25" t="s">
        <v>42</v>
      </c>
      <c r="C30" s="54"/>
      <c r="D30" s="16"/>
      <c r="E30" s="16"/>
      <c r="F30" s="31"/>
      <c r="G30" s="16"/>
      <c r="H30" s="19"/>
      <c r="I30" s="16"/>
      <c r="J30" s="20"/>
      <c r="K30" s="16"/>
      <c r="L30" s="21"/>
      <c r="M30" s="22"/>
      <c r="N30" s="22"/>
      <c r="O30" s="22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 x14ac:dyDescent="0.3">
      <c r="A31" s="14"/>
      <c r="B31" s="15"/>
      <c r="C31" s="54"/>
      <c r="D31" s="16"/>
      <c r="E31" s="16"/>
      <c r="F31" s="31"/>
      <c r="G31" s="16"/>
      <c r="H31" s="19"/>
      <c r="I31" s="16"/>
      <c r="J31" s="20"/>
      <c r="K31" s="16"/>
      <c r="L31" s="21"/>
      <c r="M31" s="22"/>
      <c r="N31" s="22"/>
      <c r="O31" s="22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 x14ac:dyDescent="0.3">
      <c r="A32" s="14"/>
      <c r="B32" s="15"/>
      <c r="C32" s="54"/>
      <c r="D32" s="16"/>
      <c r="E32" s="16"/>
      <c r="F32" s="31"/>
      <c r="G32" s="16"/>
      <c r="H32" s="19"/>
      <c r="I32" s="16"/>
      <c r="J32" s="20"/>
      <c r="K32" s="16"/>
      <c r="L32" s="21"/>
      <c r="M32" s="22"/>
      <c r="N32" s="22"/>
      <c r="O32" s="22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 x14ac:dyDescent="0.3">
      <c r="A33" s="14" t="s">
        <v>43</v>
      </c>
      <c r="B33" s="36" t="s">
        <v>588</v>
      </c>
      <c r="C33" s="54">
        <v>48.4</v>
      </c>
      <c r="D33" s="16">
        <f t="shared" ref="D33:D39" si="5">PRODUCT(C33,$D$1)</f>
        <v>111.32</v>
      </c>
      <c r="E33" s="16">
        <v>29.11</v>
      </c>
      <c r="F33" s="31"/>
      <c r="G33" s="16">
        <f t="shared" ref="G33:G39" si="6">PRODUCT(E33,$G$1)</f>
        <v>43.664999999999999</v>
      </c>
      <c r="H33" s="19"/>
      <c r="I33" s="16"/>
      <c r="J33" s="20"/>
      <c r="K33" s="16"/>
      <c r="L33" s="21"/>
      <c r="M33" s="22">
        <v>900</v>
      </c>
      <c r="N33" s="22">
        <v>720</v>
      </c>
      <c r="O33" s="22">
        <v>560</v>
      </c>
      <c r="P33" s="14" t="s">
        <v>410</v>
      </c>
      <c r="Q33" s="14" t="s">
        <v>425</v>
      </c>
      <c r="R33" s="14">
        <v>1</v>
      </c>
      <c r="S33" s="14">
        <v>715</v>
      </c>
      <c r="T33" s="14">
        <v>345</v>
      </c>
      <c r="U33" s="14"/>
      <c r="V33" s="14"/>
      <c r="W33" s="14"/>
      <c r="X33" s="14"/>
      <c r="Y33" s="14"/>
      <c r="Z33" s="14"/>
      <c r="AA33" s="14"/>
      <c r="AB33" s="14"/>
      <c r="AC33" s="14"/>
    </row>
    <row r="34" spans="1:29" x14ac:dyDescent="0.3">
      <c r="A34" s="14" t="s">
        <v>44</v>
      </c>
      <c r="B34" s="36" t="s">
        <v>587</v>
      </c>
      <c r="C34" s="54">
        <v>49.5</v>
      </c>
      <c r="D34" s="16">
        <f t="shared" si="5"/>
        <v>113.85</v>
      </c>
      <c r="E34" s="16">
        <v>31.32</v>
      </c>
      <c r="F34" s="31"/>
      <c r="G34" s="16">
        <f t="shared" si="6"/>
        <v>46.980000000000004</v>
      </c>
      <c r="H34" s="19"/>
      <c r="I34" s="16"/>
      <c r="J34" s="20"/>
      <c r="K34" s="16"/>
      <c r="L34" s="21"/>
      <c r="M34" s="22">
        <v>950</v>
      </c>
      <c r="N34" s="22">
        <v>720</v>
      </c>
      <c r="O34" s="22">
        <v>560</v>
      </c>
      <c r="P34" s="14" t="s">
        <v>410</v>
      </c>
      <c r="Q34" s="14" t="s">
        <v>425</v>
      </c>
      <c r="R34" s="14">
        <v>1</v>
      </c>
      <c r="S34" s="14">
        <v>715</v>
      </c>
      <c r="T34" s="14">
        <v>395</v>
      </c>
      <c r="U34" s="14"/>
      <c r="V34" s="14"/>
      <c r="W34" s="14"/>
      <c r="X34" s="14"/>
      <c r="Y34" s="14"/>
      <c r="Z34" s="14"/>
      <c r="AA34" s="14"/>
      <c r="AB34" s="14"/>
      <c r="AC34" s="14"/>
    </row>
    <row r="35" spans="1:29" x14ac:dyDescent="0.3">
      <c r="A35" s="14" t="s">
        <v>45</v>
      </c>
      <c r="B35" s="36" t="s">
        <v>589</v>
      </c>
      <c r="C35" s="54">
        <v>50.6</v>
      </c>
      <c r="D35" s="16">
        <f t="shared" si="5"/>
        <v>116.38</v>
      </c>
      <c r="E35" s="16">
        <v>32.22</v>
      </c>
      <c r="F35" s="31"/>
      <c r="G35" s="16">
        <f t="shared" si="6"/>
        <v>48.33</v>
      </c>
      <c r="H35" s="19"/>
      <c r="I35" s="16"/>
      <c r="J35" s="20"/>
      <c r="K35" s="16"/>
      <c r="L35" s="21"/>
      <c r="M35" s="22">
        <v>1000</v>
      </c>
      <c r="N35" s="22">
        <v>720</v>
      </c>
      <c r="O35" s="22">
        <v>560</v>
      </c>
      <c r="P35" s="14" t="s">
        <v>410</v>
      </c>
      <c r="Q35" s="14" t="s">
        <v>425</v>
      </c>
      <c r="R35" s="14">
        <v>1</v>
      </c>
      <c r="S35" s="14">
        <v>715</v>
      </c>
      <c r="T35" s="14">
        <v>445</v>
      </c>
      <c r="U35" s="14"/>
      <c r="V35" s="14"/>
      <c r="W35" s="14"/>
      <c r="X35" s="14"/>
      <c r="Y35" s="14"/>
      <c r="Z35" s="14"/>
      <c r="AA35" s="14"/>
      <c r="AB35" s="14"/>
      <c r="AC35" s="14"/>
    </row>
    <row r="36" spans="1:29" x14ac:dyDescent="0.3">
      <c r="A36" s="14" t="s">
        <v>46</v>
      </c>
      <c r="B36" s="36" t="s">
        <v>590</v>
      </c>
      <c r="C36" s="54">
        <v>51.7</v>
      </c>
      <c r="D36" s="16">
        <f t="shared" si="5"/>
        <v>118.91</v>
      </c>
      <c r="E36" s="16">
        <v>38.44</v>
      </c>
      <c r="F36" s="31"/>
      <c r="G36" s="16">
        <f t="shared" si="6"/>
        <v>57.66</v>
      </c>
      <c r="H36" s="19"/>
      <c r="I36" s="16"/>
      <c r="J36" s="20"/>
      <c r="K36" s="16"/>
      <c r="L36" s="21"/>
      <c r="M36" s="22">
        <v>1100</v>
      </c>
      <c r="N36" s="22">
        <v>720</v>
      </c>
      <c r="O36" s="22">
        <v>560</v>
      </c>
      <c r="P36" s="14" t="s">
        <v>410</v>
      </c>
      <c r="Q36" s="14" t="s">
        <v>425</v>
      </c>
      <c r="R36" s="14">
        <v>1</v>
      </c>
      <c r="S36" s="14">
        <v>715</v>
      </c>
      <c r="T36" s="14">
        <v>495</v>
      </c>
      <c r="U36" s="14"/>
      <c r="V36" s="14"/>
      <c r="W36" s="14"/>
      <c r="X36" s="14"/>
      <c r="Y36" s="14"/>
      <c r="Z36" s="14"/>
      <c r="AA36" s="14"/>
      <c r="AB36" s="14"/>
      <c r="AC36" s="14"/>
    </row>
    <row r="37" spans="1:29" x14ac:dyDescent="0.3">
      <c r="A37" s="14"/>
      <c r="B37" s="36" t="s">
        <v>591</v>
      </c>
      <c r="C37" s="54">
        <v>52.8</v>
      </c>
      <c r="D37" s="16">
        <f t="shared" si="5"/>
        <v>121.43999999999998</v>
      </c>
      <c r="E37" s="16">
        <v>38.44</v>
      </c>
      <c r="F37" s="31"/>
      <c r="G37" s="16">
        <f t="shared" si="6"/>
        <v>57.66</v>
      </c>
      <c r="H37" s="19"/>
      <c r="I37" s="16"/>
      <c r="J37" s="20"/>
      <c r="K37" s="16"/>
      <c r="L37" s="21"/>
      <c r="M37" s="22"/>
      <c r="N37" s="22"/>
      <c r="O37" s="22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 x14ac:dyDescent="0.3">
      <c r="A38" s="14" t="s">
        <v>467</v>
      </c>
      <c r="B38" s="36" t="s">
        <v>475</v>
      </c>
      <c r="C38" s="54">
        <v>50.6</v>
      </c>
      <c r="D38" s="16">
        <f t="shared" si="5"/>
        <v>116.38</v>
      </c>
      <c r="E38" s="16">
        <v>32.22</v>
      </c>
      <c r="F38" s="31"/>
      <c r="G38" s="16">
        <f t="shared" si="6"/>
        <v>48.33</v>
      </c>
      <c r="H38" s="19"/>
      <c r="I38" s="16"/>
      <c r="J38" s="20"/>
      <c r="K38" s="16"/>
      <c r="L38" s="21"/>
      <c r="M38" s="22">
        <v>1000</v>
      </c>
      <c r="N38" s="22">
        <v>720</v>
      </c>
      <c r="O38" s="22">
        <v>560</v>
      </c>
      <c r="P38" s="14" t="s">
        <v>410</v>
      </c>
      <c r="Q38" s="14" t="s">
        <v>425</v>
      </c>
      <c r="R38" s="14">
        <v>1</v>
      </c>
      <c r="S38" s="14">
        <v>715</v>
      </c>
      <c r="T38" s="14">
        <v>445</v>
      </c>
      <c r="U38" s="14"/>
      <c r="V38" s="14"/>
      <c r="W38" s="14"/>
      <c r="X38" s="14"/>
      <c r="Y38" s="14"/>
      <c r="Z38" s="14"/>
      <c r="AA38" s="14"/>
      <c r="AB38" s="14"/>
      <c r="AC38" s="14"/>
    </row>
    <row r="39" spans="1:29" x14ac:dyDescent="0.3">
      <c r="A39" s="14" t="s">
        <v>468</v>
      </c>
      <c r="B39" s="36" t="s">
        <v>476</v>
      </c>
      <c r="C39" s="54">
        <v>51.7</v>
      </c>
      <c r="D39" s="16">
        <f t="shared" si="5"/>
        <v>118.91</v>
      </c>
      <c r="E39" s="16">
        <v>38.44</v>
      </c>
      <c r="F39" s="31"/>
      <c r="G39" s="16">
        <f t="shared" si="6"/>
        <v>57.66</v>
      </c>
      <c r="H39" s="19"/>
      <c r="I39" s="16"/>
      <c r="J39" s="20"/>
      <c r="K39" s="16"/>
      <c r="L39" s="21"/>
      <c r="M39" s="22">
        <v>1100</v>
      </c>
      <c r="N39" s="22">
        <v>720</v>
      </c>
      <c r="O39" s="22">
        <v>560</v>
      </c>
      <c r="P39" s="14" t="s">
        <v>410</v>
      </c>
      <c r="Q39" s="14" t="s">
        <v>425</v>
      </c>
      <c r="R39" s="14">
        <v>1</v>
      </c>
      <c r="S39" s="14">
        <v>715</v>
      </c>
      <c r="T39" s="14">
        <v>495</v>
      </c>
      <c r="U39" s="14"/>
      <c r="V39" s="14"/>
      <c r="W39" s="14"/>
      <c r="X39" s="14"/>
      <c r="Y39" s="14"/>
      <c r="Z39" s="14"/>
      <c r="AA39" s="14"/>
      <c r="AB39" s="14"/>
      <c r="AC39" s="14"/>
    </row>
    <row r="40" spans="1:29" x14ac:dyDescent="0.3">
      <c r="A40" s="14"/>
      <c r="B40" s="25" t="s">
        <v>19</v>
      </c>
      <c r="C40" s="54"/>
      <c r="D40" s="16"/>
      <c r="E40" s="16"/>
      <c r="F40" s="31"/>
      <c r="G40" s="16"/>
      <c r="H40" s="19"/>
      <c r="I40" s="16"/>
      <c r="J40" s="20"/>
      <c r="K40" s="16"/>
      <c r="L40" s="21"/>
      <c r="M40" s="22"/>
      <c r="N40" s="22"/>
      <c r="O40" s="22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 x14ac:dyDescent="0.3">
      <c r="A41" s="14"/>
      <c r="B41" s="25" t="s">
        <v>20</v>
      </c>
      <c r="C41" s="54"/>
      <c r="D41" s="16"/>
      <c r="E41" s="16"/>
      <c r="F41" s="31"/>
      <c r="G41" s="16"/>
      <c r="H41" s="19"/>
      <c r="I41" s="16"/>
      <c r="J41" s="20"/>
      <c r="K41" s="16"/>
      <c r="L41" s="21"/>
      <c r="M41" s="22"/>
      <c r="N41" s="22"/>
      <c r="O41" s="22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 x14ac:dyDescent="0.3">
      <c r="A42" s="14"/>
      <c r="B42" s="15"/>
      <c r="C42" s="54"/>
      <c r="D42" s="16"/>
      <c r="E42" s="16"/>
      <c r="F42" s="31"/>
      <c r="G42" s="16"/>
      <c r="H42" s="19"/>
      <c r="I42" s="16"/>
      <c r="J42" s="20"/>
      <c r="K42" s="16"/>
      <c r="L42" s="21"/>
      <c r="M42" s="22"/>
      <c r="N42" s="22"/>
      <c r="O42" s="22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 x14ac:dyDescent="0.3">
      <c r="A43" s="14"/>
      <c r="B43" s="15"/>
      <c r="C43" s="54"/>
      <c r="D43" s="16"/>
      <c r="E43" s="16"/>
      <c r="F43" s="31"/>
      <c r="G43" s="16"/>
      <c r="H43" s="19"/>
      <c r="I43" s="16"/>
      <c r="J43" s="20"/>
      <c r="K43" s="16"/>
      <c r="L43" s="21"/>
      <c r="M43" s="22"/>
      <c r="N43" s="22"/>
      <c r="O43" s="22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 x14ac:dyDescent="0.3">
      <c r="A44" s="14" t="s">
        <v>47</v>
      </c>
      <c r="B44" s="15" t="s">
        <v>592</v>
      </c>
      <c r="C44" s="54">
        <v>80.3</v>
      </c>
      <c r="D44" s="16">
        <f>PRODUCT(C44,$D$1)</f>
        <v>184.68999999999997</v>
      </c>
      <c r="E44" s="16">
        <v>54.04</v>
      </c>
      <c r="F44" s="31"/>
      <c r="G44" s="16">
        <f t="shared" ref="G44:G46" si="7">PRODUCT(E44,$G$1)</f>
        <v>81.06</v>
      </c>
      <c r="H44" s="19"/>
      <c r="I44" s="16"/>
      <c r="J44" s="20"/>
      <c r="K44" s="16"/>
      <c r="L44" s="21"/>
      <c r="M44" s="22">
        <v>900</v>
      </c>
      <c r="N44" s="22">
        <v>720</v>
      </c>
      <c r="O44" s="22">
        <v>900</v>
      </c>
      <c r="P44" s="14" t="s">
        <v>410</v>
      </c>
      <c r="Q44" s="14" t="s">
        <v>426</v>
      </c>
      <c r="R44" s="14">
        <v>1</v>
      </c>
      <c r="S44" s="14">
        <v>715</v>
      </c>
      <c r="T44" s="14">
        <v>335</v>
      </c>
      <c r="U44" s="14">
        <v>1</v>
      </c>
      <c r="V44" s="14">
        <v>715</v>
      </c>
      <c r="W44" s="14">
        <v>315</v>
      </c>
      <c r="X44" s="14"/>
      <c r="Y44" s="14"/>
      <c r="Z44" s="14"/>
      <c r="AA44" s="14"/>
      <c r="AB44" s="14"/>
      <c r="AC44" s="14"/>
    </row>
    <row r="45" spans="1:29" x14ac:dyDescent="0.3">
      <c r="A45" s="14" t="s">
        <v>477</v>
      </c>
      <c r="B45" s="15" t="s">
        <v>594</v>
      </c>
      <c r="C45" s="54">
        <v>80.3</v>
      </c>
      <c r="D45" s="16">
        <f t="shared" ref="D45:D46" si="8">PRODUCT(C45,$D$1)</f>
        <v>184.68999999999997</v>
      </c>
      <c r="E45" s="16">
        <v>54.04</v>
      </c>
      <c r="F45" s="31"/>
      <c r="G45" s="16">
        <f t="shared" si="7"/>
        <v>81.06</v>
      </c>
      <c r="H45" s="19"/>
      <c r="I45" s="16"/>
      <c r="J45" s="20"/>
      <c r="K45" s="16"/>
      <c r="L45" s="21"/>
      <c r="M45" s="22">
        <v>900</v>
      </c>
      <c r="N45" s="22">
        <v>720</v>
      </c>
      <c r="O45" s="22">
        <v>900</v>
      </c>
      <c r="P45" s="14" t="s">
        <v>410</v>
      </c>
      <c r="Q45" s="14" t="s">
        <v>426</v>
      </c>
      <c r="R45" s="14">
        <v>1</v>
      </c>
      <c r="S45" s="14">
        <v>715</v>
      </c>
      <c r="T45" s="14">
        <v>335</v>
      </c>
      <c r="U45" s="14">
        <v>1</v>
      </c>
      <c r="V45" s="14">
        <v>715</v>
      </c>
      <c r="W45" s="14">
        <v>315</v>
      </c>
      <c r="X45" s="14"/>
      <c r="Y45" s="14"/>
      <c r="Z45" s="14"/>
      <c r="AA45" s="14"/>
      <c r="AB45" s="14"/>
      <c r="AC45" s="14"/>
    </row>
    <row r="46" spans="1:29" x14ac:dyDescent="0.3">
      <c r="A46" s="14" t="s">
        <v>48</v>
      </c>
      <c r="B46" s="15" t="s">
        <v>593</v>
      </c>
      <c r="C46" s="54">
        <v>83.6</v>
      </c>
      <c r="D46" s="16">
        <f t="shared" si="8"/>
        <v>192.27999999999997</v>
      </c>
      <c r="E46" s="16">
        <v>32.22</v>
      </c>
      <c r="F46" s="31"/>
      <c r="G46" s="16">
        <f t="shared" si="7"/>
        <v>48.33</v>
      </c>
      <c r="H46" s="19"/>
      <c r="I46" s="16"/>
      <c r="J46" s="20"/>
      <c r="K46" s="16"/>
      <c r="L46" s="21"/>
      <c r="M46" s="22">
        <v>900</v>
      </c>
      <c r="N46" s="22">
        <v>720</v>
      </c>
      <c r="O46" s="22">
        <v>900</v>
      </c>
      <c r="P46" s="14" t="s">
        <v>410</v>
      </c>
      <c r="Q46" s="14" t="s">
        <v>426</v>
      </c>
      <c r="R46" s="14">
        <v>1</v>
      </c>
      <c r="S46" s="14">
        <v>715</v>
      </c>
      <c r="T46" s="14">
        <v>445</v>
      </c>
      <c r="U46" s="14"/>
      <c r="V46" s="14"/>
      <c r="W46" s="14"/>
      <c r="X46" s="14"/>
      <c r="Y46" s="14"/>
      <c r="Z46" s="14"/>
      <c r="AA46" s="14"/>
      <c r="AB46" s="14"/>
      <c r="AC46" s="14"/>
    </row>
    <row r="47" spans="1:29" x14ac:dyDescent="0.3">
      <c r="A47" s="14"/>
      <c r="B47" s="25" t="s">
        <v>19</v>
      </c>
      <c r="C47" s="54"/>
      <c r="D47" s="16"/>
      <c r="E47" s="16"/>
      <c r="F47" s="31"/>
      <c r="G47" s="16"/>
      <c r="H47" s="19"/>
      <c r="I47" s="16"/>
      <c r="J47" s="20"/>
      <c r="K47" s="16"/>
      <c r="L47" s="21"/>
      <c r="M47" s="22"/>
      <c r="N47" s="22"/>
      <c r="O47" s="22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 x14ac:dyDescent="0.3">
      <c r="A48" s="14"/>
      <c r="B48" s="15"/>
      <c r="C48" s="54"/>
      <c r="D48" s="16"/>
      <c r="E48" s="16"/>
      <c r="F48" s="31"/>
      <c r="G48" s="16"/>
      <c r="H48" s="19"/>
      <c r="I48" s="16"/>
      <c r="J48" s="20"/>
      <c r="K48" s="16"/>
      <c r="L48" s="21"/>
      <c r="M48" s="22"/>
      <c r="N48" s="22"/>
      <c r="O48" s="22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1:29" x14ac:dyDescent="0.3">
      <c r="A49" s="14" t="s">
        <v>49</v>
      </c>
      <c r="B49" s="15" t="s">
        <v>50</v>
      </c>
      <c r="C49" s="54">
        <v>40.700000000000003</v>
      </c>
      <c r="D49" s="16">
        <f t="shared" ref="D49:D50" si="9">PRODUCT(C49,$D$1)</f>
        <v>93.61</v>
      </c>
      <c r="E49" s="16">
        <v>24.45</v>
      </c>
      <c r="F49" s="31"/>
      <c r="G49" s="16">
        <f t="shared" ref="G49:G50" si="10">PRODUCT(E49,$G$1)</f>
        <v>36.674999999999997</v>
      </c>
      <c r="H49" s="19"/>
      <c r="I49" s="16"/>
      <c r="J49" s="20"/>
      <c r="K49" s="16"/>
      <c r="L49" s="21"/>
      <c r="M49" s="22">
        <v>275</v>
      </c>
      <c r="N49" s="22">
        <v>720</v>
      </c>
      <c r="O49" s="22">
        <v>560</v>
      </c>
      <c r="P49" s="14" t="s">
        <v>410</v>
      </c>
      <c r="Q49" s="14" t="s">
        <v>426</v>
      </c>
      <c r="R49" s="14">
        <v>1</v>
      </c>
      <c r="S49" s="14">
        <v>715</v>
      </c>
      <c r="T49" s="14">
        <v>295</v>
      </c>
      <c r="U49" s="14"/>
      <c r="V49" s="14"/>
      <c r="W49" s="14"/>
      <c r="X49" s="14"/>
      <c r="Y49" s="14"/>
      <c r="Z49" s="14"/>
      <c r="AA49" s="14"/>
      <c r="AB49" s="14"/>
      <c r="AC49" s="14"/>
    </row>
    <row r="50" spans="1:29" x14ac:dyDescent="0.3">
      <c r="A50" s="14" t="s">
        <v>51</v>
      </c>
      <c r="B50" s="15" t="s">
        <v>52</v>
      </c>
      <c r="C50" s="54">
        <v>42.9</v>
      </c>
      <c r="D50" s="16">
        <f t="shared" si="9"/>
        <v>98.669999999999987</v>
      </c>
      <c r="E50" s="16">
        <v>29.11</v>
      </c>
      <c r="F50" s="31"/>
      <c r="G50" s="16">
        <f t="shared" si="10"/>
        <v>43.664999999999999</v>
      </c>
      <c r="H50" s="19"/>
      <c r="I50" s="16"/>
      <c r="J50" s="20"/>
      <c r="K50" s="16"/>
      <c r="L50" s="21"/>
      <c r="M50" s="22">
        <v>365</v>
      </c>
      <c r="N50" s="22">
        <v>720</v>
      </c>
      <c r="O50" s="22">
        <v>560</v>
      </c>
      <c r="P50" s="14" t="s">
        <v>410</v>
      </c>
      <c r="Q50" s="14" t="s">
        <v>426</v>
      </c>
      <c r="R50" s="14">
        <v>1</v>
      </c>
      <c r="S50" s="14">
        <v>715</v>
      </c>
      <c r="T50" s="14">
        <v>395</v>
      </c>
      <c r="U50" s="14"/>
      <c r="V50" s="14"/>
      <c r="W50" s="14"/>
      <c r="X50" s="14"/>
      <c r="Y50" s="14"/>
      <c r="Z50" s="14"/>
      <c r="AA50" s="14"/>
      <c r="AB50" s="14"/>
      <c r="AC50" s="14"/>
    </row>
    <row r="51" spans="1:29" x14ac:dyDescent="0.3">
      <c r="A51" s="14"/>
      <c r="B51" s="25" t="s">
        <v>19</v>
      </c>
      <c r="C51" s="54"/>
      <c r="D51" s="16"/>
      <c r="E51" s="16"/>
      <c r="F51" s="31"/>
      <c r="G51" s="16"/>
      <c r="H51" s="19"/>
      <c r="I51" s="16"/>
      <c r="J51" s="20"/>
      <c r="K51" s="16"/>
      <c r="L51" s="21"/>
      <c r="M51" s="22"/>
      <c r="N51" s="22"/>
      <c r="O51" s="22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1:29" x14ac:dyDescent="0.3">
      <c r="A52" s="14"/>
      <c r="B52" s="15"/>
      <c r="C52" s="54"/>
      <c r="D52" s="16"/>
      <c r="E52" s="16"/>
      <c r="F52" s="31"/>
      <c r="G52" s="16"/>
      <c r="H52" s="19"/>
      <c r="I52" s="16"/>
      <c r="J52" s="20"/>
      <c r="K52" s="16"/>
      <c r="L52" s="21"/>
      <c r="M52" s="22"/>
      <c r="N52" s="22"/>
      <c r="O52" s="22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1:29" x14ac:dyDescent="0.3">
      <c r="A53" s="14" t="s">
        <v>53</v>
      </c>
      <c r="B53" s="15" t="s">
        <v>595</v>
      </c>
      <c r="C53" s="54">
        <v>39.6</v>
      </c>
      <c r="D53" s="16">
        <f t="shared" ref="D53:D58" si="11">PRODUCT(C53,$D$1)</f>
        <v>91.08</v>
      </c>
      <c r="E53" s="16">
        <v>45.3</v>
      </c>
      <c r="F53" s="31"/>
      <c r="G53" s="16"/>
      <c r="H53" s="19"/>
      <c r="I53" s="16"/>
      <c r="J53" s="20"/>
      <c r="K53" s="16"/>
      <c r="L53" s="21"/>
      <c r="M53" s="22">
        <v>500</v>
      </c>
      <c r="N53" s="22">
        <v>720</v>
      </c>
      <c r="O53" s="22">
        <v>560</v>
      </c>
      <c r="P53" s="14" t="s">
        <v>427</v>
      </c>
      <c r="Q53" s="14" t="s">
        <v>428</v>
      </c>
      <c r="R53" s="14">
        <v>1</v>
      </c>
      <c r="S53" s="14">
        <v>570</v>
      </c>
      <c r="T53" s="14">
        <v>495</v>
      </c>
      <c r="U53" s="14">
        <v>1</v>
      </c>
      <c r="V53" s="14">
        <v>140</v>
      </c>
      <c r="W53" s="14">
        <v>495</v>
      </c>
      <c r="X53" s="14"/>
      <c r="Y53" s="14"/>
      <c r="Z53" s="14"/>
      <c r="AA53" s="14"/>
      <c r="AB53" s="14"/>
      <c r="AC53" s="14"/>
    </row>
    <row r="54" spans="1:29" x14ac:dyDescent="0.3">
      <c r="A54" s="14" t="s">
        <v>54</v>
      </c>
      <c r="B54" s="15" t="s">
        <v>596</v>
      </c>
      <c r="C54" s="54">
        <v>41.8</v>
      </c>
      <c r="D54" s="16">
        <f t="shared" si="11"/>
        <v>96.139999999999986</v>
      </c>
      <c r="E54" s="16">
        <v>53.65</v>
      </c>
      <c r="F54" s="31"/>
      <c r="G54" s="16"/>
      <c r="H54" s="19"/>
      <c r="I54" s="16"/>
      <c r="J54" s="20"/>
      <c r="K54" s="16"/>
      <c r="L54" s="21"/>
      <c r="M54" s="22">
        <v>600</v>
      </c>
      <c r="N54" s="22">
        <v>720</v>
      </c>
      <c r="O54" s="22">
        <v>560</v>
      </c>
      <c r="P54" s="14" t="s">
        <v>427</v>
      </c>
      <c r="Q54" s="14" t="s">
        <v>428</v>
      </c>
      <c r="R54" s="14">
        <v>1</v>
      </c>
      <c r="S54" s="14">
        <v>570</v>
      </c>
      <c r="T54" s="14">
        <v>595</v>
      </c>
      <c r="U54" s="14">
        <v>1</v>
      </c>
      <c r="V54" s="14">
        <v>140</v>
      </c>
      <c r="W54" s="14">
        <v>595</v>
      </c>
      <c r="X54" s="14"/>
      <c r="Y54" s="14"/>
      <c r="Z54" s="14"/>
      <c r="AA54" s="14"/>
      <c r="AB54" s="14"/>
      <c r="AC54" s="14"/>
    </row>
    <row r="55" spans="1:29" x14ac:dyDescent="0.3">
      <c r="A55" s="14" t="s">
        <v>55</v>
      </c>
      <c r="B55" s="15" t="s">
        <v>597</v>
      </c>
      <c r="C55" s="54">
        <v>45.1</v>
      </c>
      <c r="D55" s="16">
        <f t="shared" si="11"/>
        <v>103.72999999999999</v>
      </c>
      <c r="E55" s="16">
        <v>78.680000000000007</v>
      </c>
      <c r="F55" s="31"/>
      <c r="G55" s="16"/>
      <c r="H55" s="19"/>
      <c r="I55" s="16"/>
      <c r="J55" s="20"/>
      <c r="K55" s="16"/>
      <c r="L55" s="21"/>
      <c r="M55" s="22">
        <v>800</v>
      </c>
      <c r="N55" s="22">
        <v>720</v>
      </c>
      <c r="O55" s="22">
        <v>560</v>
      </c>
      <c r="P55" s="14" t="s">
        <v>427</v>
      </c>
      <c r="Q55" s="14" t="s">
        <v>428</v>
      </c>
      <c r="R55" s="14">
        <v>2</v>
      </c>
      <c r="S55" s="14">
        <v>570</v>
      </c>
      <c r="T55" s="14">
        <v>395</v>
      </c>
      <c r="U55" s="14">
        <v>2</v>
      </c>
      <c r="V55" s="14">
        <v>140</v>
      </c>
      <c r="W55" s="14">
        <v>395</v>
      </c>
      <c r="X55" s="14"/>
      <c r="Y55" s="14"/>
      <c r="Z55" s="14"/>
      <c r="AA55" s="14"/>
      <c r="AB55" s="14"/>
      <c r="AC55" s="14"/>
    </row>
    <row r="56" spans="1:29" x14ac:dyDescent="0.3">
      <c r="A56" s="14" t="s">
        <v>56</v>
      </c>
      <c r="B56" s="15" t="s">
        <v>598</v>
      </c>
      <c r="C56" s="54">
        <v>46.2</v>
      </c>
      <c r="D56" s="16">
        <f t="shared" si="11"/>
        <v>106.26</v>
      </c>
      <c r="E56" s="16">
        <v>84.14</v>
      </c>
      <c r="F56" s="31"/>
      <c r="G56" s="16"/>
      <c r="H56" s="19"/>
      <c r="I56" s="16"/>
      <c r="J56" s="20"/>
      <c r="K56" s="16"/>
      <c r="L56" s="21"/>
      <c r="M56" s="22">
        <v>900</v>
      </c>
      <c r="N56" s="22">
        <v>720</v>
      </c>
      <c r="O56" s="22">
        <v>560</v>
      </c>
      <c r="P56" s="14" t="s">
        <v>427</v>
      </c>
      <c r="Q56" s="14" t="s">
        <v>428</v>
      </c>
      <c r="R56" s="14">
        <v>2</v>
      </c>
      <c r="S56" s="14">
        <v>570</v>
      </c>
      <c r="T56" s="14">
        <v>445</v>
      </c>
      <c r="U56" s="14">
        <v>2</v>
      </c>
      <c r="V56" s="14">
        <v>140</v>
      </c>
      <c r="W56" s="14">
        <v>445</v>
      </c>
      <c r="X56" s="14"/>
      <c r="Y56" s="14"/>
      <c r="Z56" s="14"/>
      <c r="AA56" s="14"/>
      <c r="AB56" s="14"/>
      <c r="AC56" s="14"/>
    </row>
    <row r="57" spans="1:29" x14ac:dyDescent="0.3">
      <c r="A57" s="14" t="s">
        <v>57</v>
      </c>
      <c r="B57" s="15" t="s">
        <v>599</v>
      </c>
      <c r="C57" s="54">
        <v>47.3</v>
      </c>
      <c r="D57" s="16">
        <f t="shared" si="11"/>
        <v>108.78999999999999</v>
      </c>
      <c r="E57" s="16">
        <v>90.6</v>
      </c>
      <c r="F57" s="31"/>
      <c r="G57" s="16"/>
      <c r="H57" s="19"/>
      <c r="I57" s="16"/>
      <c r="J57" s="20"/>
      <c r="K57" s="16"/>
      <c r="L57" s="21"/>
      <c r="M57" s="22">
        <v>1000</v>
      </c>
      <c r="N57" s="22">
        <v>720</v>
      </c>
      <c r="O57" s="22">
        <v>560</v>
      </c>
      <c r="P57" s="14" t="s">
        <v>427</v>
      </c>
      <c r="Q57" s="14" t="s">
        <v>428</v>
      </c>
      <c r="R57" s="14">
        <v>2</v>
      </c>
      <c r="S57" s="14">
        <v>570</v>
      </c>
      <c r="T57" s="14">
        <v>495</v>
      </c>
      <c r="U57" s="14">
        <v>2</v>
      </c>
      <c r="V57" s="14">
        <v>140</v>
      </c>
      <c r="W57" s="14">
        <v>495</v>
      </c>
      <c r="X57" s="14"/>
      <c r="Y57" s="14"/>
      <c r="Z57" s="14"/>
      <c r="AA57" s="14"/>
      <c r="AB57" s="14"/>
      <c r="AC57" s="14"/>
    </row>
    <row r="58" spans="1:29" x14ac:dyDescent="0.3">
      <c r="A58" s="14" t="s">
        <v>58</v>
      </c>
      <c r="B58" s="15" t="s">
        <v>600</v>
      </c>
      <c r="C58" s="54">
        <v>49.5</v>
      </c>
      <c r="D58" s="16">
        <f t="shared" si="11"/>
        <v>113.85</v>
      </c>
      <c r="E58" s="16">
        <v>107.3</v>
      </c>
      <c r="F58" s="31"/>
      <c r="G58" s="16"/>
      <c r="H58" s="19"/>
      <c r="I58" s="16"/>
      <c r="J58" s="20"/>
      <c r="K58" s="16"/>
      <c r="L58" s="21"/>
      <c r="M58" s="22">
        <v>1200</v>
      </c>
      <c r="N58" s="22">
        <v>720</v>
      </c>
      <c r="O58" s="22">
        <v>560</v>
      </c>
      <c r="P58" s="14" t="s">
        <v>427</v>
      </c>
      <c r="Q58" s="14" t="s">
        <v>428</v>
      </c>
      <c r="R58" s="14">
        <v>2</v>
      </c>
      <c r="S58" s="14">
        <v>570</v>
      </c>
      <c r="T58" s="14">
        <v>595</v>
      </c>
      <c r="U58" s="14">
        <v>2</v>
      </c>
      <c r="V58" s="14">
        <v>140</v>
      </c>
      <c r="W58" s="14">
        <v>595</v>
      </c>
      <c r="X58" s="14"/>
      <c r="Y58" s="14"/>
      <c r="Z58" s="14"/>
      <c r="AA58" s="14"/>
      <c r="AB58" s="14"/>
      <c r="AC58" s="14"/>
    </row>
    <row r="59" spans="1:29" x14ac:dyDescent="0.3">
      <c r="A59" s="14"/>
      <c r="B59" s="25" t="s">
        <v>19</v>
      </c>
      <c r="C59" s="76"/>
      <c r="D59" s="32"/>
      <c r="E59" s="32"/>
      <c r="F59" s="77"/>
      <c r="G59" s="32"/>
      <c r="H59" s="89"/>
      <c r="I59" s="32"/>
      <c r="J59" s="34"/>
      <c r="K59" s="32"/>
      <c r="L59" s="35"/>
      <c r="M59" s="36"/>
      <c r="N59" s="36"/>
      <c r="O59" s="36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1:29" x14ac:dyDescent="0.3">
      <c r="A60" s="14"/>
      <c r="B60" s="25" t="s">
        <v>20</v>
      </c>
      <c r="C60" s="76"/>
      <c r="D60" s="32"/>
      <c r="E60" s="32"/>
      <c r="F60" s="77"/>
      <c r="G60" s="32"/>
      <c r="H60" s="89"/>
      <c r="I60" s="32"/>
      <c r="J60" s="34"/>
      <c r="K60" s="32"/>
      <c r="L60" s="35"/>
      <c r="M60" s="36"/>
      <c r="N60" s="36"/>
      <c r="O60" s="36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1:29" x14ac:dyDescent="0.3">
      <c r="A61" s="14"/>
      <c r="B61" s="25"/>
      <c r="C61" s="76"/>
      <c r="D61" s="32"/>
      <c r="E61" s="32"/>
      <c r="F61" s="77"/>
      <c r="G61" s="32"/>
      <c r="H61" s="89"/>
      <c r="I61" s="32"/>
      <c r="J61" s="34"/>
      <c r="K61" s="32"/>
      <c r="L61" s="35"/>
      <c r="M61" s="36"/>
      <c r="N61" s="36"/>
      <c r="O61" s="36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1:29" x14ac:dyDescent="0.3">
      <c r="A62" s="14" t="s">
        <v>60</v>
      </c>
      <c r="B62" s="109" t="s">
        <v>61</v>
      </c>
      <c r="C62" s="54">
        <v>160</v>
      </c>
      <c r="D62" s="16">
        <v>227.79</v>
      </c>
      <c r="E62" s="16">
        <v>52.32</v>
      </c>
      <c r="F62" s="31"/>
      <c r="G62" s="16"/>
      <c r="H62" s="19"/>
      <c r="I62" s="16"/>
      <c r="J62" s="20"/>
      <c r="K62" s="16"/>
      <c r="L62" s="21"/>
      <c r="M62" s="22">
        <v>500</v>
      </c>
      <c r="N62" s="22">
        <v>720</v>
      </c>
      <c r="O62" s="22">
        <v>560</v>
      </c>
      <c r="P62" s="14" t="s">
        <v>410</v>
      </c>
      <c r="Q62" s="14" t="s">
        <v>429</v>
      </c>
      <c r="R62" s="14">
        <v>4</v>
      </c>
      <c r="S62" s="14">
        <v>175</v>
      </c>
      <c r="T62" s="14">
        <v>495</v>
      </c>
      <c r="U62" s="14"/>
      <c r="V62" s="14"/>
      <c r="W62" s="14"/>
      <c r="X62" s="14"/>
      <c r="Y62" s="14"/>
      <c r="Z62" s="14"/>
      <c r="AA62" s="14"/>
      <c r="AB62" s="14"/>
      <c r="AC62" s="14"/>
    </row>
    <row r="63" spans="1:29" x14ac:dyDescent="0.3">
      <c r="A63" s="14" t="s">
        <v>62</v>
      </c>
      <c r="B63" s="109" t="s">
        <v>63</v>
      </c>
      <c r="C63" s="54">
        <v>161</v>
      </c>
      <c r="D63" s="16">
        <v>229.41</v>
      </c>
      <c r="E63" s="16">
        <v>60.8</v>
      </c>
      <c r="F63" s="31"/>
      <c r="G63" s="16"/>
      <c r="H63" s="19"/>
      <c r="I63" s="16"/>
      <c r="J63" s="20"/>
      <c r="K63" s="16"/>
      <c r="L63" s="21"/>
      <c r="M63" s="22">
        <v>600</v>
      </c>
      <c r="N63" s="22">
        <v>720</v>
      </c>
      <c r="O63" s="22">
        <v>560</v>
      </c>
      <c r="P63" s="14" t="s">
        <v>410</v>
      </c>
      <c r="Q63" s="14" t="s">
        <v>429</v>
      </c>
      <c r="R63" s="14">
        <v>4</v>
      </c>
      <c r="S63" s="14">
        <v>175</v>
      </c>
      <c r="T63" s="14">
        <v>595</v>
      </c>
      <c r="U63" s="14"/>
      <c r="V63" s="14"/>
      <c r="W63" s="14"/>
      <c r="X63" s="14"/>
      <c r="Y63" s="14"/>
      <c r="Z63" s="14"/>
      <c r="AA63" s="14"/>
      <c r="AB63" s="14"/>
      <c r="AC63" s="14"/>
    </row>
    <row r="64" spans="1:29" x14ac:dyDescent="0.3">
      <c r="A64" s="14"/>
      <c r="B64" s="109"/>
      <c r="C64" s="54"/>
      <c r="D64" s="16"/>
      <c r="E64" s="16"/>
      <c r="F64" s="31"/>
      <c r="G64" s="16"/>
      <c r="H64" s="19"/>
      <c r="I64" s="16"/>
      <c r="J64" s="20"/>
      <c r="K64" s="16"/>
      <c r="L64" s="21"/>
      <c r="M64" s="22"/>
      <c r="N64" s="22"/>
      <c r="O64" s="22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1:29" x14ac:dyDescent="0.3">
      <c r="A65" s="14" t="s">
        <v>64</v>
      </c>
      <c r="B65" s="109" t="s">
        <v>608</v>
      </c>
      <c r="C65" s="54">
        <v>189</v>
      </c>
      <c r="D65" s="108">
        <f t="shared" ref="D65:D69" si="12">PRODUCT(C65,$D$1)</f>
        <v>434.7</v>
      </c>
      <c r="E65" s="16">
        <v>42.45</v>
      </c>
      <c r="F65" s="31"/>
      <c r="G65" s="16"/>
      <c r="H65" s="19"/>
      <c r="I65" s="16"/>
      <c r="J65" s="20"/>
      <c r="K65" s="16"/>
      <c r="L65" s="21"/>
      <c r="M65" s="22">
        <v>300</v>
      </c>
      <c r="N65" s="22">
        <v>720</v>
      </c>
      <c r="O65" s="22">
        <v>560</v>
      </c>
      <c r="P65" s="14" t="s">
        <v>410</v>
      </c>
      <c r="Q65" s="14" t="s">
        <v>429</v>
      </c>
      <c r="R65" s="14">
        <v>5</v>
      </c>
      <c r="S65" s="14">
        <v>140</v>
      </c>
      <c r="T65" s="14">
        <v>295</v>
      </c>
      <c r="U65" s="14"/>
      <c r="V65" s="14"/>
      <c r="W65" s="14"/>
      <c r="X65" s="14"/>
      <c r="Y65" s="14"/>
      <c r="Z65" s="14"/>
      <c r="AA65" s="14"/>
      <c r="AB65" s="14"/>
      <c r="AC65" s="14"/>
    </row>
    <row r="66" spans="1:29" x14ac:dyDescent="0.3">
      <c r="A66" s="14" t="s">
        <v>65</v>
      </c>
      <c r="B66" s="109" t="s">
        <v>66</v>
      </c>
      <c r="C66" s="54">
        <v>190</v>
      </c>
      <c r="D66" s="108">
        <f t="shared" si="12"/>
        <v>436.99999999999994</v>
      </c>
      <c r="E66" s="16">
        <v>47.6</v>
      </c>
      <c r="F66" s="31"/>
      <c r="G66" s="16"/>
      <c r="H66" s="19"/>
      <c r="I66" s="16"/>
      <c r="J66" s="20"/>
      <c r="K66" s="16"/>
      <c r="L66" s="21"/>
      <c r="M66" s="22">
        <v>400</v>
      </c>
      <c r="N66" s="22">
        <v>720</v>
      </c>
      <c r="O66" s="22">
        <v>560</v>
      </c>
      <c r="P66" s="14" t="s">
        <v>410</v>
      </c>
      <c r="Q66" s="14" t="s">
        <v>429</v>
      </c>
      <c r="R66" s="14">
        <v>5</v>
      </c>
      <c r="S66" s="14">
        <v>140</v>
      </c>
      <c r="T66" s="14">
        <v>395</v>
      </c>
      <c r="U66" s="14"/>
      <c r="V66" s="14"/>
      <c r="W66" s="14"/>
      <c r="X66" s="14"/>
      <c r="Y66" s="14"/>
      <c r="Z66" s="14"/>
      <c r="AA66" s="14"/>
      <c r="AB66" s="14"/>
      <c r="AC66" s="14"/>
    </row>
    <row r="67" spans="1:29" x14ac:dyDescent="0.3">
      <c r="A67" s="14" t="s">
        <v>67</v>
      </c>
      <c r="B67" s="109" t="s">
        <v>68</v>
      </c>
      <c r="C67" s="54">
        <v>191</v>
      </c>
      <c r="D67" s="108">
        <f t="shared" si="12"/>
        <v>439.29999999999995</v>
      </c>
      <c r="E67" s="16">
        <v>52.1</v>
      </c>
      <c r="F67" s="31"/>
      <c r="G67" s="16"/>
      <c r="H67" s="19"/>
      <c r="I67" s="16"/>
      <c r="J67" s="20"/>
      <c r="K67" s="16"/>
      <c r="L67" s="21"/>
      <c r="M67" s="22">
        <v>450</v>
      </c>
      <c r="N67" s="22">
        <v>720</v>
      </c>
      <c r="O67" s="22">
        <v>560</v>
      </c>
      <c r="P67" s="14" t="s">
        <v>410</v>
      </c>
      <c r="Q67" s="14" t="s">
        <v>429</v>
      </c>
      <c r="R67" s="14">
        <v>5</v>
      </c>
      <c r="S67" s="14">
        <v>140</v>
      </c>
      <c r="T67" s="14">
        <v>445</v>
      </c>
      <c r="U67" s="14"/>
      <c r="V67" s="14"/>
      <c r="W67" s="14"/>
      <c r="X67" s="14"/>
      <c r="Y67" s="14"/>
      <c r="Z67" s="14"/>
      <c r="AA67" s="14"/>
      <c r="AB67" s="14"/>
      <c r="AC67" s="14"/>
    </row>
    <row r="68" spans="1:29" x14ac:dyDescent="0.3">
      <c r="A68" s="14" t="s">
        <v>69</v>
      </c>
      <c r="B68" s="109" t="s">
        <v>70</v>
      </c>
      <c r="C68" s="54">
        <v>192</v>
      </c>
      <c r="D68" s="108">
        <f t="shared" si="12"/>
        <v>441.59999999999997</v>
      </c>
      <c r="E68" s="16">
        <v>56.75</v>
      </c>
      <c r="F68" s="31"/>
      <c r="G68" s="16"/>
      <c r="H68" s="19"/>
      <c r="I68" s="16"/>
      <c r="J68" s="20"/>
      <c r="K68" s="16"/>
      <c r="L68" s="21"/>
      <c r="M68" s="22">
        <v>500</v>
      </c>
      <c r="N68" s="22">
        <v>720</v>
      </c>
      <c r="O68" s="22">
        <v>560</v>
      </c>
      <c r="P68" s="14" t="s">
        <v>410</v>
      </c>
      <c r="Q68" s="14" t="s">
        <v>429</v>
      </c>
      <c r="R68" s="14">
        <v>5</v>
      </c>
      <c r="S68" s="14">
        <v>140</v>
      </c>
      <c r="T68" s="14">
        <v>495</v>
      </c>
      <c r="U68" s="14"/>
      <c r="V68" s="14"/>
      <c r="W68" s="14"/>
      <c r="X68" s="14"/>
      <c r="Y68" s="14"/>
      <c r="Z68" s="14"/>
      <c r="AA68" s="14"/>
      <c r="AB68" s="14"/>
      <c r="AC68" s="14"/>
    </row>
    <row r="69" spans="1:29" x14ac:dyDescent="0.3">
      <c r="A69" s="14" t="s">
        <v>71</v>
      </c>
      <c r="B69" s="109" t="s">
        <v>72</v>
      </c>
      <c r="C69" s="54">
        <v>193</v>
      </c>
      <c r="D69" s="108">
        <f t="shared" si="12"/>
        <v>443.9</v>
      </c>
      <c r="E69" s="16">
        <v>63.3</v>
      </c>
      <c r="F69" s="31"/>
      <c r="G69" s="16"/>
      <c r="H69" s="19"/>
      <c r="I69" s="16"/>
      <c r="J69" s="20"/>
      <c r="K69" s="16"/>
      <c r="L69" s="21"/>
      <c r="M69" s="22">
        <v>600</v>
      </c>
      <c r="N69" s="22">
        <v>720</v>
      </c>
      <c r="O69" s="22">
        <v>560</v>
      </c>
      <c r="P69" s="14" t="s">
        <v>410</v>
      </c>
      <c r="Q69" s="14" t="s">
        <v>429</v>
      </c>
      <c r="R69" s="14">
        <v>5</v>
      </c>
      <c r="S69" s="14">
        <v>140</v>
      </c>
      <c r="T69" s="14">
        <v>595</v>
      </c>
      <c r="U69" s="14"/>
      <c r="V69" s="14"/>
      <c r="W69" s="14"/>
      <c r="X69" s="14"/>
      <c r="Y69" s="14"/>
      <c r="Z69" s="14"/>
      <c r="AA69" s="14"/>
      <c r="AB69" s="14"/>
      <c r="AC69" s="14"/>
    </row>
    <row r="70" spans="1:29" x14ac:dyDescent="0.3">
      <c r="A70" s="14"/>
      <c r="B70" s="109"/>
      <c r="C70" s="54"/>
      <c r="D70" s="108"/>
      <c r="E70" s="16"/>
      <c r="F70" s="31"/>
      <c r="G70" s="16"/>
      <c r="H70" s="19"/>
      <c r="I70" s="16"/>
      <c r="J70" s="20"/>
      <c r="K70" s="16"/>
      <c r="L70" s="21"/>
      <c r="M70" s="22"/>
      <c r="N70" s="22"/>
      <c r="O70" s="22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1:29" x14ac:dyDescent="0.3">
      <c r="A71" s="14" t="s">
        <v>73</v>
      </c>
      <c r="B71" s="109" t="s">
        <v>74</v>
      </c>
      <c r="C71" s="54">
        <v>139</v>
      </c>
      <c r="D71" s="108">
        <f t="shared" ref="D71:D72" si="13">PRODUCT(C71,$D$1)</f>
        <v>319.7</v>
      </c>
      <c r="E71" s="16">
        <v>48.36</v>
      </c>
      <c r="F71" s="31"/>
      <c r="G71" s="16"/>
      <c r="H71" s="19"/>
      <c r="I71" s="16"/>
      <c r="J71" s="20"/>
      <c r="K71" s="16"/>
      <c r="L71" s="21"/>
      <c r="M71" s="22">
        <v>500</v>
      </c>
      <c r="N71" s="22">
        <v>720</v>
      </c>
      <c r="O71" s="22">
        <v>560</v>
      </c>
      <c r="P71" s="14" t="s">
        <v>410</v>
      </c>
      <c r="Q71" s="14" t="s">
        <v>429</v>
      </c>
      <c r="R71" s="14">
        <v>2</v>
      </c>
      <c r="S71" s="14">
        <v>175</v>
      </c>
      <c r="T71" s="14">
        <v>495</v>
      </c>
      <c r="U71" s="14">
        <v>1</v>
      </c>
      <c r="V71" s="14">
        <v>355</v>
      </c>
      <c r="W71" s="14">
        <v>495</v>
      </c>
      <c r="X71" s="14"/>
      <c r="Y71" s="14"/>
      <c r="Z71" s="14"/>
      <c r="AA71" s="14"/>
      <c r="AB71" s="14"/>
      <c r="AC71" s="14"/>
    </row>
    <row r="72" spans="1:29" x14ac:dyDescent="0.3">
      <c r="A72" s="14" t="s">
        <v>75</v>
      </c>
      <c r="B72" s="109" t="s">
        <v>76</v>
      </c>
      <c r="C72" s="54">
        <v>140</v>
      </c>
      <c r="D72" s="108">
        <f t="shared" si="13"/>
        <v>322</v>
      </c>
      <c r="E72" s="16">
        <v>53.32</v>
      </c>
      <c r="F72" s="31"/>
      <c r="G72" s="16"/>
      <c r="H72" s="19"/>
      <c r="I72" s="16"/>
      <c r="J72" s="20"/>
      <c r="K72" s="16"/>
      <c r="L72" s="21"/>
      <c r="M72" s="22">
        <v>600</v>
      </c>
      <c r="N72" s="22">
        <v>720</v>
      </c>
      <c r="O72" s="22">
        <v>560</v>
      </c>
      <c r="P72" s="14" t="s">
        <v>410</v>
      </c>
      <c r="Q72" s="14" t="s">
        <v>429</v>
      </c>
      <c r="R72" s="14">
        <v>2</v>
      </c>
      <c r="S72" s="14">
        <v>175</v>
      </c>
      <c r="T72" s="14">
        <v>595</v>
      </c>
      <c r="U72" s="14">
        <v>1</v>
      </c>
      <c r="V72" s="14">
        <v>355</v>
      </c>
      <c r="W72" s="14">
        <v>595</v>
      </c>
      <c r="X72" s="14"/>
      <c r="Y72" s="14"/>
      <c r="Z72" s="14"/>
      <c r="AA72" s="14"/>
      <c r="AB72" s="14"/>
      <c r="AC72" s="14"/>
    </row>
    <row r="73" spans="1:29" x14ac:dyDescent="0.3">
      <c r="A73" s="14"/>
      <c r="B73" s="109"/>
      <c r="C73" s="54"/>
      <c r="D73" s="108"/>
      <c r="E73" s="16"/>
      <c r="F73" s="31"/>
      <c r="G73" s="16"/>
      <c r="H73" s="19"/>
      <c r="I73" s="16"/>
      <c r="J73" s="20"/>
      <c r="K73" s="16"/>
      <c r="L73" s="21"/>
      <c r="M73" s="22"/>
      <c r="N73" s="22"/>
      <c r="O73" s="22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1:29" x14ac:dyDescent="0.3">
      <c r="A74" s="14" t="s">
        <v>77</v>
      </c>
      <c r="B74" s="109" t="s">
        <v>78</v>
      </c>
      <c r="C74" s="54">
        <v>171</v>
      </c>
      <c r="D74" s="108">
        <f t="shared" ref="D74:D75" si="14">PRODUCT(C74,$D$1)</f>
        <v>393.29999999999995</v>
      </c>
      <c r="E74" s="16">
        <v>50.52</v>
      </c>
      <c r="F74" s="31"/>
      <c r="G74" s="16"/>
      <c r="H74" s="19"/>
      <c r="I74" s="16"/>
      <c r="J74" s="20"/>
      <c r="K74" s="16"/>
      <c r="L74" s="21"/>
      <c r="M74" s="22">
        <v>500</v>
      </c>
      <c r="N74" s="22">
        <v>720</v>
      </c>
      <c r="O74" s="22">
        <v>560</v>
      </c>
      <c r="P74" s="14" t="s">
        <v>410</v>
      </c>
      <c r="Q74" s="14" t="s">
        <v>429</v>
      </c>
      <c r="R74" s="14">
        <v>3</v>
      </c>
      <c r="S74" s="14">
        <v>140</v>
      </c>
      <c r="T74" s="14">
        <v>495</v>
      </c>
      <c r="U74" s="14">
        <v>1</v>
      </c>
      <c r="V74" s="14">
        <v>283</v>
      </c>
      <c r="W74" s="14">
        <v>495</v>
      </c>
      <c r="X74" s="14"/>
      <c r="Y74" s="14"/>
      <c r="Z74" s="14"/>
      <c r="AA74" s="14"/>
      <c r="AB74" s="14"/>
      <c r="AC74" s="14"/>
    </row>
    <row r="75" spans="1:29" x14ac:dyDescent="0.3">
      <c r="A75" s="14" t="s">
        <v>79</v>
      </c>
      <c r="B75" s="109" t="s">
        <v>80</v>
      </c>
      <c r="C75" s="54">
        <v>172</v>
      </c>
      <c r="D75" s="108">
        <f t="shared" si="14"/>
        <v>395.59999999999997</v>
      </c>
      <c r="E75" s="16">
        <v>54.66</v>
      </c>
      <c r="F75" s="31"/>
      <c r="G75" s="16"/>
      <c r="H75" s="19"/>
      <c r="I75" s="16"/>
      <c r="J75" s="20"/>
      <c r="K75" s="16"/>
      <c r="L75" s="21"/>
      <c r="M75" s="22">
        <v>600</v>
      </c>
      <c r="N75" s="22">
        <v>720</v>
      </c>
      <c r="O75" s="22">
        <v>560</v>
      </c>
      <c r="P75" s="14" t="s">
        <v>410</v>
      </c>
      <c r="Q75" s="14" t="s">
        <v>429</v>
      </c>
      <c r="R75" s="14">
        <v>3</v>
      </c>
      <c r="S75" s="14">
        <v>140</v>
      </c>
      <c r="T75" s="14">
        <v>595</v>
      </c>
      <c r="U75" s="14">
        <v>1</v>
      </c>
      <c r="V75" s="14">
        <v>283</v>
      </c>
      <c r="W75" s="14">
        <v>595</v>
      </c>
      <c r="X75" s="14"/>
      <c r="Y75" s="14"/>
      <c r="Z75" s="14"/>
      <c r="AA75" s="14"/>
      <c r="AB75" s="14"/>
      <c r="AC75" s="14"/>
    </row>
    <row r="76" spans="1:29" x14ac:dyDescent="0.3">
      <c r="A76" s="14"/>
      <c r="B76" s="106"/>
      <c r="C76" s="54"/>
      <c r="D76" s="108"/>
      <c r="E76" s="16"/>
      <c r="F76" s="31"/>
      <c r="G76" s="16"/>
      <c r="H76" s="19"/>
      <c r="I76" s="16"/>
      <c r="J76" s="20"/>
      <c r="K76" s="16"/>
      <c r="L76" s="21"/>
      <c r="M76" s="22"/>
      <c r="N76" s="22"/>
      <c r="O76" s="22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1:29" x14ac:dyDescent="0.3">
      <c r="A77" s="14" t="s">
        <v>81</v>
      </c>
      <c r="B77" s="106" t="s">
        <v>82</v>
      </c>
      <c r="C77" s="54">
        <v>149</v>
      </c>
      <c r="D77" s="16">
        <v>261.38</v>
      </c>
      <c r="E77" s="16">
        <v>44.29</v>
      </c>
      <c r="F77" s="31"/>
      <c r="G77" s="16"/>
      <c r="H77" s="19"/>
      <c r="I77" s="16"/>
      <c r="J77" s="20"/>
      <c r="K77" s="16"/>
      <c r="L77" s="21"/>
      <c r="M77" s="22">
        <v>500</v>
      </c>
      <c r="N77" s="22">
        <v>720</v>
      </c>
      <c r="O77" s="22">
        <v>560</v>
      </c>
      <c r="P77" s="14" t="s">
        <v>410</v>
      </c>
      <c r="Q77" s="14" t="s">
        <v>429</v>
      </c>
      <c r="R77" s="14">
        <v>1</v>
      </c>
      <c r="S77" s="14">
        <v>140</v>
      </c>
      <c r="T77" s="14">
        <v>495</v>
      </c>
      <c r="U77" s="14">
        <v>2</v>
      </c>
      <c r="V77" s="14">
        <v>283</v>
      </c>
      <c r="W77" s="14">
        <v>495</v>
      </c>
      <c r="X77" s="14"/>
      <c r="Y77" s="14"/>
      <c r="Z77" s="14"/>
      <c r="AA77" s="14"/>
      <c r="AB77" s="14"/>
      <c r="AC77" s="14"/>
    </row>
    <row r="78" spans="1:29" x14ac:dyDescent="0.3">
      <c r="A78" s="14" t="s">
        <v>83</v>
      </c>
      <c r="B78" s="106" t="s">
        <v>84</v>
      </c>
      <c r="C78" s="54">
        <v>150</v>
      </c>
      <c r="D78" s="16">
        <v>263.02</v>
      </c>
      <c r="E78" s="16">
        <v>49.1</v>
      </c>
      <c r="F78" s="31"/>
      <c r="G78" s="16"/>
      <c r="H78" s="19"/>
      <c r="I78" s="16"/>
      <c r="J78" s="20"/>
      <c r="K78" s="16"/>
      <c r="L78" s="21"/>
      <c r="M78" s="22">
        <v>600</v>
      </c>
      <c r="N78" s="22">
        <v>720</v>
      </c>
      <c r="O78" s="22">
        <v>560</v>
      </c>
      <c r="P78" s="14" t="s">
        <v>410</v>
      </c>
      <c r="Q78" s="14" t="s">
        <v>429</v>
      </c>
      <c r="R78" s="14">
        <v>1</v>
      </c>
      <c r="S78" s="14">
        <v>140</v>
      </c>
      <c r="T78" s="14">
        <v>595</v>
      </c>
      <c r="U78" s="14">
        <v>2</v>
      </c>
      <c r="V78" s="14">
        <v>283</v>
      </c>
      <c r="W78" s="14">
        <v>595</v>
      </c>
      <c r="X78" s="14"/>
      <c r="Y78" s="14"/>
      <c r="Z78" s="14"/>
      <c r="AA78" s="14"/>
      <c r="AB78" s="14"/>
      <c r="AC78" s="14"/>
    </row>
    <row r="79" spans="1:29" x14ac:dyDescent="0.3">
      <c r="A79" s="14" t="s">
        <v>85</v>
      </c>
      <c r="B79" s="106" t="s">
        <v>86</v>
      </c>
      <c r="C79" s="54">
        <v>155</v>
      </c>
      <c r="D79" s="16">
        <v>295.83999999999997</v>
      </c>
      <c r="E79" s="16">
        <v>66.28</v>
      </c>
      <c r="F79" s="31"/>
      <c r="G79" s="16" t="s">
        <v>624</v>
      </c>
      <c r="H79" s="19"/>
      <c r="I79" s="16"/>
      <c r="J79" s="20"/>
      <c r="K79" s="16"/>
      <c r="L79" s="21"/>
      <c r="M79" s="22">
        <v>800</v>
      </c>
      <c r="N79" s="22">
        <v>720</v>
      </c>
      <c r="O79" s="22">
        <v>560</v>
      </c>
      <c r="P79" s="14" t="s">
        <v>410</v>
      </c>
      <c r="Q79" s="14" t="s">
        <v>429</v>
      </c>
      <c r="R79" s="14">
        <v>1</v>
      </c>
      <c r="S79" s="14">
        <v>140</v>
      </c>
      <c r="T79" s="14">
        <v>795</v>
      </c>
      <c r="U79" s="14">
        <v>2</v>
      </c>
      <c r="V79" s="14">
        <v>283</v>
      </c>
      <c r="W79" s="14">
        <v>795</v>
      </c>
      <c r="X79" s="14"/>
      <c r="Y79" s="14"/>
      <c r="Z79" s="14"/>
      <c r="AA79" s="14"/>
      <c r="AB79" s="14"/>
      <c r="AC79" s="14"/>
    </row>
    <row r="80" spans="1:29" x14ac:dyDescent="0.3">
      <c r="A80" s="14" t="s">
        <v>87</v>
      </c>
      <c r="B80" s="106" t="s">
        <v>88</v>
      </c>
      <c r="C80" s="54">
        <v>157</v>
      </c>
      <c r="D80" s="16">
        <v>299.26</v>
      </c>
      <c r="E80" s="16">
        <v>82.22</v>
      </c>
      <c r="F80" s="31"/>
      <c r="G80" s="16"/>
      <c r="H80" s="19"/>
      <c r="I80" s="16"/>
      <c r="J80" s="20"/>
      <c r="K80" s="16"/>
      <c r="L80" s="21"/>
      <c r="M80" s="22">
        <v>1000</v>
      </c>
      <c r="N80" s="22">
        <v>720</v>
      </c>
      <c r="O80" s="22">
        <v>560</v>
      </c>
      <c r="P80" s="14" t="s">
        <v>410</v>
      </c>
      <c r="Q80" s="14" t="s">
        <v>429</v>
      </c>
      <c r="R80" s="14">
        <v>1</v>
      </c>
      <c r="S80" s="14">
        <v>140</v>
      </c>
      <c r="T80" s="14">
        <v>995</v>
      </c>
      <c r="U80" s="14">
        <v>2</v>
      </c>
      <c r="V80" s="14">
        <v>283</v>
      </c>
      <c r="W80" s="14">
        <v>995</v>
      </c>
      <c r="X80" s="14"/>
      <c r="Y80" s="14"/>
      <c r="Z80" s="14"/>
      <c r="AA80" s="14"/>
      <c r="AB80" s="14"/>
      <c r="AC80" s="14"/>
    </row>
    <row r="81" spans="1:29" x14ac:dyDescent="0.3">
      <c r="A81" s="14"/>
      <c r="B81" s="109"/>
      <c r="C81" s="54"/>
      <c r="D81" s="16"/>
      <c r="E81" s="16"/>
      <c r="F81" s="31"/>
      <c r="G81" s="16"/>
      <c r="H81" s="19"/>
      <c r="I81" s="16"/>
      <c r="J81" s="20"/>
      <c r="K81" s="16"/>
      <c r="L81" s="21"/>
      <c r="M81" s="22"/>
      <c r="N81" s="22"/>
      <c r="O81" s="22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1:29" x14ac:dyDescent="0.3">
      <c r="A82" s="14" t="s">
        <v>89</v>
      </c>
      <c r="B82" s="109" t="s">
        <v>90</v>
      </c>
      <c r="C82" s="54">
        <v>115</v>
      </c>
      <c r="D82" s="16"/>
      <c r="E82" s="16">
        <v>34.020000000000003</v>
      </c>
      <c r="F82" s="31"/>
      <c r="G82" s="16"/>
      <c r="H82" s="19"/>
      <c r="I82" s="16"/>
      <c r="J82" s="20"/>
      <c r="K82" s="16"/>
      <c r="L82" s="21"/>
      <c r="M82" s="22">
        <v>300</v>
      </c>
      <c r="N82" s="22">
        <v>720</v>
      </c>
      <c r="O82" s="22">
        <v>560</v>
      </c>
      <c r="P82" s="14" t="s">
        <v>410</v>
      </c>
      <c r="Q82" s="14" t="s">
        <v>429</v>
      </c>
      <c r="R82" s="14">
        <v>2</v>
      </c>
      <c r="S82" s="14">
        <v>355</v>
      </c>
      <c r="T82" s="14">
        <v>295</v>
      </c>
      <c r="U82" s="14"/>
      <c r="V82" s="14"/>
      <c r="W82" s="14"/>
      <c r="X82" s="14"/>
      <c r="Y82" s="14"/>
      <c r="Z82" s="14"/>
      <c r="AA82" s="14"/>
      <c r="AB82" s="14"/>
      <c r="AC82" s="14"/>
    </row>
    <row r="83" spans="1:29" x14ac:dyDescent="0.3">
      <c r="A83" s="14" t="s">
        <v>91</v>
      </c>
      <c r="B83" s="109" t="s">
        <v>92</v>
      </c>
      <c r="C83" s="54">
        <v>118</v>
      </c>
      <c r="D83" s="16"/>
      <c r="E83" s="16">
        <v>44.4</v>
      </c>
      <c r="F83" s="31"/>
      <c r="G83" s="16"/>
      <c r="H83" s="19"/>
      <c r="I83" s="16"/>
      <c r="J83" s="20"/>
      <c r="K83" s="16"/>
      <c r="L83" s="21"/>
      <c r="M83" s="22">
        <v>500</v>
      </c>
      <c r="N83" s="22">
        <v>720</v>
      </c>
      <c r="O83" s="22">
        <v>560</v>
      </c>
      <c r="P83" s="14" t="s">
        <v>410</v>
      </c>
      <c r="Q83" s="14" t="s">
        <v>429</v>
      </c>
      <c r="R83" s="14">
        <v>2</v>
      </c>
      <c r="S83" s="14">
        <v>355</v>
      </c>
      <c r="T83" s="14">
        <v>495</v>
      </c>
      <c r="U83" s="14"/>
      <c r="V83" s="14"/>
      <c r="W83" s="14"/>
      <c r="X83" s="14"/>
      <c r="Y83" s="14"/>
      <c r="Z83" s="14"/>
      <c r="AA83" s="14"/>
      <c r="AB83" s="14"/>
      <c r="AC83" s="14"/>
    </row>
    <row r="84" spans="1:29" x14ac:dyDescent="0.3">
      <c r="A84" s="14" t="s">
        <v>93</v>
      </c>
      <c r="B84" s="109" t="s">
        <v>94</v>
      </c>
      <c r="C84" s="54">
        <v>119</v>
      </c>
      <c r="D84" s="16"/>
      <c r="E84" s="16">
        <v>45.8</v>
      </c>
      <c r="F84" s="31"/>
      <c r="G84" s="16"/>
      <c r="H84" s="19"/>
      <c r="I84" s="16"/>
      <c r="J84" s="20"/>
      <c r="K84" s="16"/>
      <c r="L84" s="21"/>
      <c r="M84" s="22">
        <v>600</v>
      </c>
      <c r="N84" s="22">
        <v>720</v>
      </c>
      <c r="O84" s="22">
        <v>560</v>
      </c>
      <c r="P84" s="14" t="s">
        <v>410</v>
      </c>
      <c r="Q84" s="14" t="s">
        <v>429</v>
      </c>
      <c r="R84" s="14">
        <v>2</v>
      </c>
      <c r="S84" s="14">
        <v>355</v>
      </c>
      <c r="T84" s="14">
        <v>595</v>
      </c>
      <c r="U84" s="14"/>
      <c r="V84" s="14"/>
      <c r="W84" s="14"/>
      <c r="X84" s="14"/>
      <c r="Y84" s="14"/>
      <c r="Z84" s="14"/>
      <c r="AA84" s="14"/>
      <c r="AB84" s="14"/>
      <c r="AC84" s="14"/>
    </row>
    <row r="85" spans="1:29" x14ac:dyDescent="0.3">
      <c r="A85" s="14" t="s">
        <v>95</v>
      </c>
      <c r="B85" s="109" t="s">
        <v>96</v>
      </c>
      <c r="C85" s="54">
        <v>124</v>
      </c>
      <c r="D85" s="16"/>
      <c r="E85" s="16">
        <v>62.4</v>
      </c>
      <c r="F85" s="31"/>
      <c r="G85" s="16"/>
      <c r="H85" s="19"/>
      <c r="I85" s="16"/>
      <c r="J85" s="20"/>
      <c r="K85" s="16"/>
      <c r="L85" s="21"/>
      <c r="M85" s="22">
        <v>800</v>
      </c>
      <c r="N85" s="22">
        <v>720</v>
      </c>
      <c r="O85" s="22">
        <v>560</v>
      </c>
      <c r="P85" s="14" t="s">
        <v>410</v>
      </c>
      <c r="Q85" s="14" t="s">
        <v>429</v>
      </c>
      <c r="R85" s="14">
        <v>2</v>
      </c>
      <c r="S85" s="14">
        <v>355</v>
      </c>
      <c r="T85" s="14">
        <v>795</v>
      </c>
      <c r="U85" s="14"/>
      <c r="V85" s="14"/>
      <c r="W85" s="14"/>
      <c r="X85" s="14"/>
      <c r="Y85" s="14"/>
      <c r="Z85" s="14"/>
      <c r="AA85" s="14"/>
      <c r="AB85" s="14"/>
      <c r="AC85" s="14"/>
    </row>
    <row r="86" spans="1:29" x14ac:dyDescent="0.3">
      <c r="A86" s="14" t="s">
        <v>97</v>
      </c>
      <c r="B86" s="109" t="s">
        <v>98</v>
      </c>
      <c r="C86" s="54">
        <v>126</v>
      </c>
      <c r="D86" s="16"/>
      <c r="E86" s="16">
        <v>78.040000000000006</v>
      </c>
      <c r="F86" s="31"/>
      <c r="G86" s="16"/>
      <c r="H86" s="19"/>
      <c r="I86" s="16"/>
      <c r="J86" s="20"/>
      <c r="K86" s="16"/>
      <c r="L86" s="21"/>
      <c r="M86" s="22">
        <v>1000</v>
      </c>
      <c r="N86" s="22">
        <v>720</v>
      </c>
      <c r="O86" s="22">
        <v>560</v>
      </c>
      <c r="P86" s="14" t="s">
        <v>410</v>
      </c>
      <c r="Q86" s="14" t="s">
        <v>429</v>
      </c>
      <c r="R86" s="14">
        <v>2</v>
      </c>
      <c r="S86" s="14">
        <v>355</v>
      </c>
      <c r="T86" s="14">
        <v>995</v>
      </c>
      <c r="U86" s="14"/>
      <c r="V86" s="14"/>
      <c r="W86" s="14"/>
      <c r="X86" s="14"/>
      <c r="Y86" s="14"/>
      <c r="Z86" s="14"/>
      <c r="AA86" s="14"/>
      <c r="AB86" s="14"/>
      <c r="AC86" s="14"/>
    </row>
    <row r="87" spans="1:29" x14ac:dyDescent="0.3">
      <c r="A87" s="14"/>
      <c r="B87" s="25" t="s">
        <v>19</v>
      </c>
      <c r="C87" s="54"/>
      <c r="D87" s="16"/>
      <c r="E87" s="16"/>
      <c r="F87" s="31"/>
      <c r="G87" s="16"/>
      <c r="H87" s="19"/>
      <c r="I87" s="16"/>
      <c r="J87" s="20"/>
      <c r="K87" s="16"/>
      <c r="L87" s="21"/>
      <c r="M87" s="22"/>
      <c r="N87" s="22"/>
      <c r="O87" s="22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1:29" x14ac:dyDescent="0.3">
      <c r="A88" s="14"/>
      <c r="B88" s="25" t="s">
        <v>20</v>
      </c>
      <c r="C88" s="54"/>
      <c r="D88" s="16"/>
      <c r="E88" s="16"/>
      <c r="F88" s="31"/>
      <c r="G88" s="16"/>
      <c r="H88" s="19"/>
      <c r="I88" s="16"/>
      <c r="J88" s="20"/>
      <c r="K88" s="16"/>
      <c r="L88" s="21"/>
      <c r="M88" s="22"/>
      <c r="N88" s="22"/>
      <c r="O88" s="22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1:29" x14ac:dyDescent="0.3">
      <c r="A89" s="14"/>
      <c r="B89" s="25" t="s">
        <v>99</v>
      </c>
      <c r="C89" s="54"/>
      <c r="D89" s="16"/>
      <c r="E89" s="16"/>
      <c r="F89" s="31"/>
      <c r="G89" s="16"/>
      <c r="H89" s="19"/>
      <c r="I89" s="16"/>
      <c r="J89" s="20"/>
      <c r="K89" s="16"/>
      <c r="L89" s="21"/>
      <c r="M89" s="22"/>
      <c r="N89" s="22"/>
      <c r="O89" s="22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1:29" x14ac:dyDescent="0.3">
      <c r="A90" s="14"/>
      <c r="B90" s="15"/>
      <c r="C90" s="54"/>
      <c r="D90" s="16"/>
      <c r="E90" s="16"/>
      <c r="F90" s="31"/>
      <c r="G90" s="16"/>
      <c r="H90" s="19"/>
      <c r="I90" s="16"/>
      <c r="J90" s="20"/>
      <c r="K90" s="16"/>
      <c r="L90" s="21"/>
      <c r="M90" s="22"/>
      <c r="N90" s="22"/>
      <c r="O90" s="22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1:29" x14ac:dyDescent="0.3">
      <c r="A91" s="14" t="s">
        <v>100</v>
      </c>
      <c r="B91" s="36" t="s">
        <v>101</v>
      </c>
      <c r="C91" s="54">
        <v>38.5</v>
      </c>
      <c r="D91" s="16">
        <f>PRODUCT(C91,$D$1)</f>
        <v>88.55</v>
      </c>
      <c r="E91" s="16">
        <v>38.44</v>
      </c>
      <c r="F91" s="31"/>
      <c r="G91" s="16"/>
      <c r="H91" s="19"/>
      <c r="I91" s="16"/>
      <c r="J91" s="20"/>
      <c r="K91" s="16"/>
      <c r="L91" s="21"/>
      <c r="M91" s="22">
        <v>600</v>
      </c>
      <c r="N91" s="22">
        <v>720</v>
      </c>
      <c r="O91" s="22">
        <v>560</v>
      </c>
      <c r="P91" s="14" t="s">
        <v>410</v>
      </c>
      <c r="Q91" s="14" t="s">
        <v>430</v>
      </c>
      <c r="R91" s="14">
        <v>1</v>
      </c>
      <c r="S91" s="14">
        <v>110</v>
      </c>
      <c r="T91" s="14">
        <v>595</v>
      </c>
      <c r="U91" s="14"/>
      <c r="V91" s="14"/>
      <c r="W91" s="14"/>
      <c r="X91" s="14"/>
      <c r="Y91" s="14"/>
      <c r="Z91" s="14"/>
      <c r="AA91" s="14"/>
      <c r="AB91" s="14"/>
      <c r="AC91" s="14"/>
    </row>
    <row r="92" spans="1:29" x14ac:dyDescent="0.3">
      <c r="A92" s="14" t="s">
        <v>102</v>
      </c>
      <c r="B92" s="106" t="s">
        <v>103</v>
      </c>
      <c r="C92" s="107">
        <v>44</v>
      </c>
      <c r="D92" s="108">
        <f t="shared" ref="D92" si="15">PRODUCT(C92,$D$1)</f>
        <v>101.19999999999999</v>
      </c>
      <c r="E92" s="16"/>
      <c r="F92" s="31"/>
      <c r="G92" s="16"/>
      <c r="H92" s="19"/>
      <c r="I92" s="16"/>
      <c r="J92" s="20"/>
      <c r="K92" s="16"/>
      <c r="L92" s="21"/>
      <c r="M92" s="22">
        <v>900</v>
      </c>
      <c r="N92" s="22">
        <v>720</v>
      </c>
      <c r="O92" s="22">
        <v>560</v>
      </c>
      <c r="P92" s="14" t="s">
        <v>410</v>
      </c>
      <c r="Q92" s="14" t="s">
        <v>430</v>
      </c>
      <c r="R92" s="14">
        <v>1</v>
      </c>
      <c r="S92" s="14">
        <v>110</v>
      </c>
      <c r="T92" s="14">
        <v>895</v>
      </c>
      <c r="U92" s="14"/>
      <c r="V92" s="14"/>
      <c r="W92" s="14"/>
      <c r="X92" s="14"/>
      <c r="Y92" s="14"/>
      <c r="Z92" s="14"/>
      <c r="AA92" s="14"/>
      <c r="AB92" s="14"/>
      <c r="AC92" s="14"/>
    </row>
    <row r="93" spans="1:29" x14ac:dyDescent="0.3">
      <c r="A93" s="14"/>
      <c r="B93" s="109"/>
      <c r="C93" s="107"/>
      <c r="D93" s="108"/>
      <c r="E93" s="16"/>
      <c r="F93" s="31"/>
      <c r="G93" s="16"/>
      <c r="H93" s="19"/>
      <c r="I93" s="16"/>
      <c r="J93" s="20"/>
      <c r="K93" s="16"/>
      <c r="L93" s="21"/>
      <c r="M93" s="22"/>
      <c r="N93" s="22"/>
      <c r="O93" s="22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1:29" x14ac:dyDescent="0.3">
      <c r="A94" s="14" t="s">
        <v>104</v>
      </c>
      <c r="B94" s="106" t="s">
        <v>105</v>
      </c>
      <c r="C94" s="107">
        <v>50.6</v>
      </c>
      <c r="D94" s="108">
        <f t="shared" ref="D94:D95" si="16">PRODUCT(C94,$D$1)</f>
        <v>116.38</v>
      </c>
      <c r="E94" s="16"/>
      <c r="F94" s="31"/>
      <c r="G94" s="16"/>
      <c r="H94" s="19"/>
      <c r="I94" s="16"/>
      <c r="J94" s="20"/>
      <c r="K94" s="16"/>
      <c r="L94" s="21"/>
      <c r="M94" s="22">
        <v>600</v>
      </c>
      <c r="N94" s="22">
        <v>720</v>
      </c>
      <c r="O94" s="22">
        <v>560</v>
      </c>
      <c r="P94" s="14" t="s">
        <v>410</v>
      </c>
      <c r="Q94" s="14" t="s">
        <v>430</v>
      </c>
      <c r="R94" s="14">
        <v>1</v>
      </c>
      <c r="S94" s="14">
        <v>110</v>
      </c>
      <c r="T94" s="14">
        <v>595</v>
      </c>
      <c r="U94" s="14"/>
      <c r="V94" s="14"/>
      <c r="W94" s="14"/>
      <c r="X94" s="14"/>
      <c r="Y94" s="14"/>
      <c r="Z94" s="14"/>
      <c r="AA94" s="14"/>
      <c r="AB94" s="14"/>
      <c r="AC94" s="14"/>
    </row>
    <row r="95" spans="1:29" x14ac:dyDescent="0.3">
      <c r="A95" s="14" t="s">
        <v>106</v>
      </c>
      <c r="B95" s="106" t="s">
        <v>107</v>
      </c>
      <c r="C95" s="107">
        <v>57.2</v>
      </c>
      <c r="D95" s="108">
        <f t="shared" si="16"/>
        <v>131.56</v>
      </c>
      <c r="E95" s="16"/>
      <c r="F95" s="31"/>
      <c r="G95" s="16"/>
      <c r="H95" s="19"/>
      <c r="I95" s="16"/>
      <c r="J95" s="20"/>
      <c r="K95" s="16"/>
      <c r="L95" s="21"/>
      <c r="M95" s="22">
        <v>900</v>
      </c>
      <c r="N95" s="22">
        <v>720</v>
      </c>
      <c r="O95" s="22">
        <v>560</v>
      </c>
      <c r="P95" s="14" t="s">
        <v>410</v>
      </c>
      <c r="Q95" s="14" t="s">
        <v>430</v>
      </c>
      <c r="R95" s="14">
        <v>1</v>
      </c>
      <c r="S95" s="14">
        <v>110</v>
      </c>
      <c r="T95" s="14">
        <v>895</v>
      </c>
      <c r="U95" s="14"/>
      <c r="V95" s="14"/>
      <c r="W95" s="14"/>
      <c r="X95" s="14"/>
      <c r="Y95" s="14"/>
      <c r="Z95" s="14"/>
      <c r="AA95" s="14"/>
      <c r="AB95" s="14"/>
      <c r="AC95" s="14"/>
    </row>
    <row r="96" spans="1:29" x14ac:dyDescent="0.3">
      <c r="A96" s="14"/>
      <c r="B96" s="109"/>
      <c r="C96" s="107"/>
      <c r="D96" s="108"/>
      <c r="E96" s="16"/>
      <c r="F96" s="31"/>
      <c r="G96" s="16"/>
      <c r="H96" s="19"/>
      <c r="I96" s="16"/>
      <c r="J96" s="20"/>
      <c r="K96" s="16"/>
      <c r="L96" s="21"/>
      <c r="M96" s="22"/>
      <c r="N96" s="22"/>
      <c r="O96" s="22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1:29" x14ac:dyDescent="0.3">
      <c r="A97" s="14" t="s">
        <v>108</v>
      </c>
      <c r="B97" s="106" t="s">
        <v>109</v>
      </c>
      <c r="C97" s="107">
        <v>41.8</v>
      </c>
      <c r="D97" s="108">
        <f>PRODUCT(C97,$D$1)</f>
        <v>96.139999999999986</v>
      </c>
      <c r="E97" s="16"/>
      <c r="F97" s="31"/>
      <c r="G97" s="16"/>
      <c r="H97" s="19"/>
      <c r="I97" s="16"/>
      <c r="J97" s="20"/>
      <c r="K97" s="16"/>
      <c r="L97" s="21"/>
      <c r="M97" s="22">
        <v>600</v>
      </c>
      <c r="N97" s="22">
        <v>720</v>
      </c>
      <c r="O97" s="22">
        <v>560</v>
      </c>
      <c r="P97" s="14" t="s">
        <v>410</v>
      </c>
      <c r="Q97" s="14" t="s">
        <v>430</v>
      </c>
      <c r="R97" s="14">
        <v>1</v>
      </c>
      <c r="S97" s="14">
        <v>265</v>
      </c>
      <c r="T97" s="14">
        <v>595</v>
      </c>
      <c r="U97" s="14"/>
      <c r="V97" s="14"/>
      <c r="W97" s="14"/>
      <c r="X97" s="14"/>
      <c r="Y97" s="14"/>
      <c r="Z97" s="14"/>
      <c r="AA97" s="14"/>
      <c r="AB97" s="14"/>
      <c r="AC97" s="14"/>
    </row>
    <row r="98" spans="1:29" x14ac:dyDescent="0.3">
      <c r="A98" s="14"/>
      <c r="B98" s="109"/>
      <c r="C98" s="107"/>
      <c r="D98" s="108"/>
      <c r="E98" s="16"/>
      <c r="F98" s="31"/>
      <c r="G98" s="16"/>
      <c r="H98" s="19"/>
      <c r="I98" s="16"/>
      <c r="J98" s="20"/>
      <c r="K98" s="16"/>
      <c r="L98" s="21"/>
      <c r="M98" s="22"/>
      <c r="N98" s="22"/>
      <c r="O98" s="22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1:29" x14ac:dyDescent="0.3">
      <c r="A99" s="14" t="s">
        <v>108</v>
      </c>
      <c r="B99" s="106" t="s">
        <v>110</v>
      </c>
      <c r="C99" s="107">
        <v>56.1</v>
      </c>
      <c r="D99" s="108">
        <f>PRODUCT(C99,$D$1)</f>
        <v>129.03</v>
      </c>
      <c r="E99" s="16"/>
      <c r="F99" s="31"/>
      <c r="G99" s="16"/>
      <c r="H99" s="19"/>
      <c r="I99" s="16"/>
      <c r="J99" s="20"/>
      <c r="K99" s="16"/>
      <c r="L99" s="21"/>
      <c r="M99" s="22">
        <v>900</v>
      </c>
      <c r="N99" s="22">
        <v>720</v>
      </c>
      <c r="O99" s="22">
        <v>560</v>
      </c>
      <c r="P99" s="14" t="s">
        <v>410</v>
      </c>
      <c r="Q99" s="14" t="s">
        <v>430</v>
      </c>
      <c r="R99" s="14">
        <v>1</v>
      </c>
      <c r="S99" s="14">
        <v>265</v>
      </c>
      <c r="T99" s="14">
        <v>895</v>
      </c>
      <c r="U99" s="14"/>
      <c r="V99" s="14"/>
      <c r="W99" s="14"/>
      <c r="X99" s="14"/>
      <c r="Y99" s="14"/>
      <c r="Z99" s="14"/>
      <c r="AA99" s="14"/>
      <c r="AB99" s="14"/>
      <c r="AC99" s="14"/>
    </row>
    <row r="100" spans="1:29" x14ac:dyDescent="0.3">
      <c r="A100" s="14"/>
      <c r="B100" s="25" t="s">
        <v>111</v>
      </c>
      <c r="C100" s="54"/>
      <c r="D100" s="16"/>
      <c r="E100" s="16"/>
      <c r="F100" s="31"/>
      <c r="G100" s="16"/>
      <c r="H100" s="19"/>
      <c r="I100" s="16"/>
      <c r="J100" s="20"/>
      <c r="K100" s="16"/>
      <c r="L100" s="21"/>
      <c r="M100" s="22"/>
      <c r="N100" s="22"/>
      <c r="O100" s="22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1:29" x14ac:dyDescent="0.3">
      <c r="A101" s="14"/>
      <c r="B101" s="15"/>
      <c r="C101" s="54"/>
      <c r="D101" s="16"/>
      <c r="E101" s="16"/>
      <c r="F101" s="31"/>
      <c r="G101" s="16"/>
      <c r="H101" s="19"/>
      <c r="I101" s="16"/>
      <c r="J101" s="20"/>
      <c r="K101" s="16"/>
      <c r="L101" s="21"/>
      <c r="M101" s="22"/>
      <c r="N101" s="22"/>
      <c r="O101" s="22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1:29" x14ac:dyDescent="0.3">
      <c r="A102" s="14"/>
      <c r="B102" s="15"/>
      <c r="C102" s="54"/>
      <c r="D102" s="16"/>
      <c r="E102" s="16"/>
      <c r="F102" s="31"/>
      <c r="G102" s="16"/>
      <c r="H102" s="19"/>
      <c r="I102" s="16"/>
      <c r="J102" s="20"/>
      <c r="K102" s="16"/>
      <c r="L102" s="21"/>
      <c r="M102" s="22"/>
      <c r="N102" s="22"/>
      <c r="O102" s="22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1:29" x14ac:dyDescent="0.3">
      <c r="A103" s="14" t="s">
        <v>112</v>
      </c>
      <c r="B103" s="15" t="s">
        <v>113</v>
      </c>
      <c r="C103" s="54">
        <v>80.3</v>
      </c>
      <c r="D103" s="16">
        <f t="shared" ref="D103:D105" si="17">PRODUCT(C103,$D$1)</f>
        <v>184.68999999999997</v>
      </c>
      <c r="E103" s="16"/>
      <c r="F103" s="31"/>
      <c r="G103" s="16"/>
      <c r="H103" s="19"/>
      <c r="I103" s="16"/>
      <c r="J103" s="20"/>
      <c r="K103" s="16"/>
      <c r="L103" s="21"/>
      <c r="M103" s="22">
        <v>600</v>
      </c>
      <c r="N103" s="22">
        <v>1970</v>
      </c>
      <c r="O103" s="22">
        <v>560</v>
      </c>
      <c r="P103" s="14" t="s">
        <v>431</v>
      </c>
      <c r="Q103" s="14" t="s">
        <v>430</v>
      </c>
      <c r="R103" s="14">
        <v>1</v>
      </c>
      <c r="S103" s="14">
        <v>110</v>
      </c>
      <c r="T103" s="14">
        <v>595</v>
      </c>
      <c r="U103" s="14">
        <v>1</v>
      </c>
      <c r="V103" s="14">
        <v>720</v>
      </c>
      <c r="W103" s="14">
        <v>595</v>
      </c>
      <c r="X103" s="14">
        <v>1</v>
      </c>
      <c r="Y103" s="14">
        <v>570</v>
      </c>
      <c r="Z103" s="14">
        <v>595</v>
      </c>
      <c r="AA103" s="14"/>
      <c r="AB103" s="14"/>
      <c r="AC103" s="14"/>
    </row>
    <row r="104" spans="1:29" x14ac:dyDescent="0.3">
      <c r="A104" s="14" t="s">
        <v>114</v>
      </c>
      <c r="B104" s="15" t="s">
        <v>115</v>
      </c>
      <c r="C104" s="54">
        <v>80.3</v>
      </c>
      <c r="D104" s="16">
        <f t="shared" si="17"/>
        <v>184.68999999999997</v>
      </c>
      <c r="E104" s="16"/>
      <c r="F104" s="31"/>
      <c r="G104" s="16"/>
      <c r="H104" s="19"/>
      <c r="I104" s="16"/>
      <c r="J104" s="20"/>
      <c r="K104" s="16"/>
      <c r="L104" s="21"/>
      <c r="M104" s="22">
        <v>600</v>
      </c>
      <c r="N104" s="22">
        <v>1970</v>
      </c>
      <c r="O104" s="22">
        <v>560</v>
      </c>
      <c r="P104" s="14" t="s">
        <v>431</v>
      </c>
      <c r="Q104" s="14" t="s">
        <v>430</v>
      </c>
      <c r="R104" s="14">
        <v>1</v>
      </c>
      <c r="S104" s="14">
        <v>110</v>
      </c>
      <c r="T104" s="14">
        <v>595</v>
      </c>
      <c r="U104" s="14">
        <v>1</v>
      </c>
      <c r="V104" s="14">
        <v>490</v>
      </c>
      <c r="W104" s="14">
        <v>595</v>
      </c>
      <c r="X104" s="14">
        <v>1</v>
      </c>
      <c r="Y104" s="14">
        <v>570</v>
      </c>
      <c r="Z104" s="14">
        <v>595</v>
      </c>
      <c r="AA104" s="14"/>
      <c r="AB104" s="14"/>
      <c r="AC104" s="14"/>
    </row>
    <row r="105" spans="1:29" x14ac:dyDescent="0.3">
      <c r="A105" s="14" t="s">
        <v>116</v>
      </c>
      <c r="B105" s="15" t="s">
        <v>117</v>
      </c>
      <c r="C105" s="54">
        <v>83.6</v>
      </c>
      <c r="D105" s="16">
        <f t="shared" si="17"/>
        <v>192.27999999999997</v>
      </c>
      <c r="E105" s="16"/>
      <c r="F105" s="31"/>
      <c r="G105" s="16"/>
      <c r="H105" s="19"/>
      <c r="I105" s="16"/>
      <c r="J105" s="20"/>
      <c r="K105" s="16"/>
      <c r="L105" s="21"/>
      <c r="M105" s="22">
        <v>600</v>
      </c>
      <c r="N105" s="22">
        <v>1970</v>
      </c>
      <c r="O105" s="22">
        <v>560</v>
      </c>
      <c r="P105" s="14" t="s">
        <v>431</v>
      </c>
      <c r="Q105" s="14" t="s">
        <v>430</v>
      </c>
      <c r="R105" s="14">
        <v>1</v>
      </c>
      <c r="S105" s="14">
        <v>110</v>
      </c>
      <c r="T105" s="14">
        <v>595</v>
      </c>
      <c r="U105" s="14">
        <v>1</v>
      </c>
      <c r="V105" s="14">
        <v>450</v>
      </c>
      <c r="W105" s="14">
        <v>595</v>
      </c>
      <c r="X105" s="14">
        <v>1</v>
      </c>
      <c r="Y105" s="14">
        <v>450</v>
      </c>
      <c r="Z105" s="14">
        <v>595</v>
      </c>
      <c r="AA105" s="14"/>
      <c r="AB105" s="14"/>
      <c r="AC105" s="14"/>
    </row>
    <row r="106" spans="1:29" x14ac:dyDescent="0.3">
      <c r="A106" s="14"/>
      <c r="B106" s="15"/>
      <c r="C106" s="54"/>
      <c r="D106" s="16"/>
      <c r="E106" s="16"/>
      <c r="F106" s="31"/>
      <c r="G106" s="16"/>
      <c r="H106" s="19"/>
      <c r="I106" s="16"/>
      <c r="J106" s="20"/>
      <c r="K106" s="16"/>
      <c r="L106" s="21"/>
      <c r="M106" s="22"/>
      <c r="N106" s="22"/>
      <c r="O106" s="22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1:29" x14ac:dyDescent="0.3">
      <c r="A107" s="14" t="s">
        <v>118</v>
      </c>
      <c r="B107" s="15" t="s">
        <v>119</v>
      </c>
      <c r="C107" s="54">
        <v>83.6</v>
      </c>
      <c r="D107" s="16">
        <f t="shared" ref="D107:D109" si="18">PRODUCT(C107,$D$1)</f>
        <v>192.27999999999997</v>
      </c>
      <c r="E107" s="16"/>
      <c r="F107" s="31"/>
      <c r="G107" s="16"/>
      <c r="H107" s="19"/>
      <c r="I107" s="16"/>
      <c r="J107" s="20"/>
      <c r="K107" s="16"/>
      <c r="L107" s="21"/>
      <c r="M107" s="22">
        <v>600</v>
      </c>
      <c r="N107" s="22">
        <v>2150</v>
      </c>
      <c r="O107" s="22">
        <v>560</v>
      </c>
      <c r="P107" s="14" t="s">
        <v>431</v>
      </c>
      <c r="Q107" s="14" t="s">
        <v>430</v>
      </c>
      <c r="R107" s="14">
        <v>1</v>
      </c>
      <c r="S107" s="14">
        <v>110</v>
      </c>
      <c r="T107" s="14">
        <v>595</v>
      </c>
      <c r="U107" s="14">
        <v>1</v>
      </c>
      <c r="V107" s="14">
        <v>720</v>
      </c>
      <c r="W107" s="14">
        <v>595</v>
      </c>
      <c r="X107" s="14">
        <v>1</v>
      </c>
      <c r="Y107" s="14">
        <v>720</v>
      </c>
      <c r="Z107" s="14">
        <v>595</v>
      </c>
      <c r="AA107" s="14"/>
      <c r="AB107" s="14"/>
      <c r="AC107" s="14"/>
    </row>
    <row r="108" spans="1:29" x14ac:dyDescent="0.3">
      <c r="A108" s="14" t="s">
        <v>120</v>
      </c>
      <c r="B108" s="15" t="s">
        <v>121</v>
      </c>
      <c r="C108" s="54">
        <v>83.6</v>
      </c>
      <c r="D108" s="16">
        <f t="shared" si="18"/>
        <v>192.27999999999997</v>
      </c>
      <c r="E108" s="16"/>
      <c r="F108" s="31"/>
      <c r="G108" s="16"/>
      <c r="H108" s="19"/>
      <c r="I108" s="16"/>
      <c r="J108" s="20"/>
      <c r="K108" s="16"/>
      <c r="L108" s="21"/>
      <c r="M108" s="22">
        <v>600</v>
      </c>
      <c r="N108" s="22">
        <v>2150</v>
      </c>
      <c r="O108" s="22">
        <v>560</v>
      </c>
      <c r="P108" s="14" t="s">
        <v>431</v>
      </c>
      <c r="Q108" s="14" t="s">
        <v>430</v>
      </c>
      <c r="R108" s="14">
        <v>1</v>
      </c>
      <c r="S108" s="14">
        <v>110</v>
      </c>
      <c r="T108" s="14">
        <v>595</v>
      </c>
      <c r="U108" s="14">
        <v>1</v>
      </c>
      <c r="V108" s="14">
        <v>490</v>
      </c>
      <c r="W108" s="14">
        <v>595</v>
      </c>
      <c r="X108" s="14">
        <v>1</v>
      </c>
      <c r="Y108" s="14">
        <v>720</v>
      </c>
      <c r="Z108" s="14">
        <v>595</v>
      </c>
      <c r="AA108" s="14"/>
      <c r="AB108" s="14"/>
      <c r="AC108" s="14"/>
    </row>
    <row r="109" spans="1:29" x14ac:dyDescent="0.3">
      <c r="A109" s="14" t="s">
        <v>122</v>
      </c>
      <c r="B109" s="15" t="s">
        <v>123</v>
      </c>
      <c r="C109" s="54">
        <v>84.6</v>
      </c>
      <c r="D109" s="16">
        <f t="shared" si="18"/>
        <v>194.57999999999998</v>
      </c>
      <c r="E109" s="16"/>
      <c r="F109" s="31"/>
      <c r="G109" s="16"/>
      <c r="H109" s="19"/>
      <c r="I109" s="16"/>
      <c r="J109" s="20"/>
      <c r="K109" s="16"/>
      <c r="L109" s="21"/>
      <c r="M109" s="22">
        <v>600</v>
      </c>
      <c r="N109" s="22">
        <v>2150</v>
      </c>
      <c r="O109" s="22">
        <v>560</v>
      </c>
      <c r="P109" s="14" t="s">
        <v>431</v>
      </c>
      <c r="Q109" s="14" t="s">
        <v>430</v>
      </c>
      <c r="R109" s="14">
        <v>1</v>
      </c>
      <c r="S109" s="14">
        <v>110</v>
      </c>
      <c r="T109" s="14">
        <v>595</v>
      </c>
      <c r="U109" s="14">
        <v>1</v>
      </c>
      <c r="V109" s="14">
        <v>450</v>
      </c>
      <c r="W109" s="14">
        <v>595</v>
      </c>
      <c r="X109" s="14">
        <v>1</v>
      </c>
      <c r="Y109" s="14">
        <v>570</v>
      </c>
      <c r="Z109" s="14">
        <v>595</v>
      </c>
      <c r="AA109" s="14"/>
      <c r="AB109" s="14"/>
      <c r="AC109" s="14"/>
    </row>
    <row r="110" spans="1:29" x14ac:dyDescent="0.3">
      <c r="A110" s="14"/>
      <c r="B110" s="15"/>
      <c r="C110" s="54"/>
      <c r="D110" s="16"/>
      <c r="E110" s="16"/>
      <c r="F110" s="31"/>
      <c r="G110" s="16"/>
      <c r="H110" s="19"/>
      <c r="I110" s="16"/>
      <c r="J110" s="20"/>
      <c r="K110" s="16"/>
      <c r="L110" s="21"/>
      <c r="M110" s="22"/>
      <c r="N110" s="22"/>
      <c r="O110" s="22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1:29" x14ac:dyDescent="0.3">
      <c r="A111" s="14" t="s">
        <v>473</v>
      </c>
      <c r="B111" s="15" t="s">
        <v>494</v>
      </c>
      <c r="C111" s="54">
        <v>160</v>
      </c>
      <c r="D111" s="16">
        <f t="shared" ref="D111:D113" si="19">PRODUCT(C111,$D$1)</f>
        <v>368</v>
      </c>
      <c r="E111" s="16"/>
      <c r="F111" s="31"/>
      <c r="G111" s="16"/>
      <c r="H111" s="19"/>
      <c r="I111" s="16"/>
      <c r="J111" s="20"/>
      <c r="K111" s="16"/>
      <c r="L111" s="21"/>
      <c r="M111" s="22">
        <v>600</v>
      </c>
      <c r="N111" s="22">
        <v>1970</v>
      </c>
      <c r="O111" s="22">
        <v>560</v>
      </c>
      <c r="P111" s="14" t="s">
        <v>431</v>
      </c>
      <c r="Q111" s="14" t="s">
        <v>430</v>
      </c>
      <c r="R111" s="14">
        <v>1</v>
      </c>
      <c r="S111" s="14">
        <v>110</v>
      </c>
      <c r="T111" s="14">
        <v>595</v>
      </c>
      <c r="U111" s="14">
        <v>2</v>
      </c>
      <c r="V111" s="14">
        <v>355</v>
      </c>
      <c r="W111" s="14">
        <v>595</v>
      </c>
      <c r="X111" s="14">
        <v>1</v>
      </c>
      <c r="Y111" s="14">
        <v>570</v>
      </c>
      <c r="Z111" s="14">
        <v>595</v>
      </c>
      <c r="AA111" s="14"/>
      <c r="AB111" s="14"/>
      <c r="AC111" s="14"/>
    </row>
    <row r="112" spans="1:29" x14ac:dyDescent="0.3">
      <c r="A112" s="14" t="s">
        <v>440</v>
      </c>
      <c r="B112" s="15" t="s">
        <v>495</v>
      </c>
      <c r="C112" s="54">
        <v>150</v>
      </c>
      <c r="D112" s="16">
        <f t="shared" si="19"/>
        <v>345</v>
      </c>
      <c r="E112" s="16"/>
      <c r="F112" s="31"/>
      <c r="G112" s="16"/>
      <c r="H112" s="19"/>
      <c r="I112" s="16"/>
      <c r="J112" s="20"/>
      <c r="K112" s="16"/>
      <c r="L112" s="21"/>
      <c r="M112" s="22">
        <v>600</v>
      </c>
      <c r="N112" s="22">
        <v>1970</v>
      </c>
      <c r="O112" s="22">
        <v>560</v>
      </c>
      <c r="P112" s="14" t="s">
        <v>431</v>
      </c>
      <c r="Q112" s="14" t="s">
        <v>430</v>
      </c>
      <c r="R112" s="14">
        <v>1</v>
      </c>
      <c r="S112" s="14">
        <v>110</v>
      </c>
      <c r="T112" s="14">
        <v>595</v>
      </c>
      <c r="U112" s="14">
        <v>1</v>
      </c>
      <c r="V112" s="14">
        <v>283</v>
      </c>
      <c r="W112" s="14">
        <v>595</v>
      </c>
      <c r="X112" s="14">
        <v>1</v>
      </c>
      <c r="Y112" s="14">
        <v>140</v>
      </c>
      <c r="Z112" s="14">
        <v>595</v>
      </c>
      <c r="AA112" s="14">
        <v>1</v>
      </c>
      <c r="AB112" s="14">
        <v>570</v>
      </c>
      <c r="AC112" s="14">
        <v>595</v>
      </c>
    </row>
    <row r="113" spans="1:29" x14ac:dyDescent="0.3">
      <c r="A113" s="14" t="s">
        <v>441</v>
      </c>
      <c r="B113" s="15" t="s">
        <v>496</v>
      </c>
      <c r="C113" s="54">
        <v>153</v>
      </c>
      <c r="D113" s="16">
        <f t="shared" si="19"/>
        <v>351.9</v>
      </c>
      <c r="E113" s="16"/>
      <c r="F113" s="31"/>
      <c r="G113" s="16"/>
      <c r="H113" s="19"/>
      <c r="I113" s="16"/>
      <c r="J113" s="20"/>
      <c r="K113" s="16"/>
      <c r="L113" s="21"/>
      <c r="M113" s="22">
        <v>600</v>
      </c>
      <c r="N113" s="22">
        <v>1970</v>
      </c>
      <c r="O113" s="22">
        <v>560</v>
      </c>
      <c r="P113" s="14" t="s">
        <v>431</v>
      </c>
      <c r="Q113" s="14" t="s">
        <v>430</v>
      </c>
      <c r="R113" s="14">
        <v>1</v>
      </c>
      <c r="S113" s="14">
        <v>283</v>
      </c>
      <c r="T113" s="14">
        <v>595</v>
      </c>
      <c r="U113" s="14">
        <v>1</v>
      </c>
      <c r="V113" s="14">
        <v>140</v>
      </c>
      <c r="W113" s="14">
        <v>595</v>
      </c>
      <c r="X113" s="14">
        <v>1</v>
      </c>
      <c r="Y113" s="14">
        <v>490</v>
      </c>
      <c r="Z113" s="14">
        <v>595</v>
      </c>
      <c r="AA113" s="14">
        <v>1</v>
      </c>
      <c r="AB113" s="14">
        <v>110</v>
      </c>
      <c r="AC113" s="14">
        <v>595</v>
      </c>
    </row>
    <row r="114" spans="1:29" x14ac:dyDescent="0.3">
      <c r="A114" s="14"/>
      <c r="B114" s="15"/>
      <c r="C114" s="54"/>
      <c r="D114" s="16"/>
      <c r="E114" s="16"/>
      <c r="F114" s="31"/>
      <c r="G114" s="16"/>
      <c r="H114" s="19"/>
      <c r="I114" s="16"/>
      <c r="J114" s="20"/>
      <c r="K114" s="16"/>
      <c r="L114" s="21"/>
      <c r="M114" s="22"/>
      <c r="N114" s="22"/>
      <c r="O114" s="22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1:29" x14ac:dyDescent="0.3">
      <c r="A115" s="14" t="s">
        <v>474</v>
      </c>
      <c r="B115" s="15" t="s">
        <v>497</v>
      </c>
      <c r="C115" s="54">
        <v>153.6</v>
      </c>
      <c r="D115" s="16">
        <f t="shared" ref="D115:D117" si="20">PRODUCT(C115,$D$1)</f>
        <v>353.28</v>
      </c>
      <c r="E115" s="16"/>
      <c r="F115" s="31"/>
      <c r="G115" s="16"/>
      <c r="H115" s="19"/>
      <c r="I115" s="16"/>
      <c r="J115" s="20"/>
      <c r="K115" s="16"/>
      <c r="L115" s="21"/>
      <c r="M115" s="22">
        <v>600</v>
      </c>
      <c r="N115" s="22">
        <v>2150</v>
      </c>
      <c r="O115" s="22">
        <v>560</v>
      </c>
      <c r="P115" s="14" t="s">
        <v>431</v>
      </c>
      <c r="Q115" s="14" t="s">
        <v>430</v>
      </c>
      <c r="R115" s="14">
        <v>1</v>
      </c>
      <c r="S115" s="14">
        <v>110</v>
      </c>
      <c r="T115" s="14">
        <v>595</v>
      </c>
      <c r="U115" s="14">
        <v>2</v>
      </c>
      <c r="V115" s="14">
        <v>355</v>
      </c>
      <c r="W115" s="14">
        <v>595</v>
      </c>
      <c r="X115" s="14">
        <v>1</v>
      </c>
      <c r="Y115" s="14">
        <v>720</v>
      </c>
      <c r="Z115" s="14">
        <v>595</v>
      </c>
      <c r="AA115" s="14"/>
      <c r="AB115" s="14"/>
      <c r="AC115" s="14"/>
    </row>
    <row r="116" spans="1:29" x14ac:dyDescent="0.3">
      <c r="A116" s="14" t="s">
        <v>442</v>
      </c>
      <c r="B116" s="15" t="s">
        <v>498</v>
      </c>
      <c r="C116" s="54">
        <v>153.6</v>
      </c>
      <c r="D116" s="16">
        <f t="shared" si="20"/>
        <v>353.28</v>
      </c>
      <c r="E116" s="16"/>
      <c r="F116" s="31"/>
      <c r="G116" s="16"/>
      <c r="H116" s="19"/>
      <c r="I116" s="16"/>
      <c r="J116" s="20"/>
      <c r="K116" s="16"/>
      <c r="L116" s="21"/>
      <c r="M116" s="22">
        <v>600</v>
      </c>
      <c r="N116" s="22">
        <v>2150</v>
      </c>
      <c r="O116" s="22">
        <v>560</v>
      </c>
      <c r="P116" s="14" t="s">
        <v>431</v>
      </c>
      <c r="Q116" s="14" t="s">
        <v>430</v>
      </c>
      <c r="R116" s="14">
        <v>1</v>
      </c>
      <c r="S116" s="14">
        <v>110</v>
      </c>
      <c r="T116" s="14">
        <v>595</v>
      </c>
      <c r="U116" s="14">
        <v>1</v>
      </c>
      <c r="V116" s="14">
        <v>140</v>
      </c>
      <c r="W116" s="14">
        <v>595</v>
      </c>
      <c r="X116" s="14">
        <v>1</v>
      </c>
      <c r="Y116" s="14">
        <v>283</v>
      </c>
      <c r="Z116" s="14">
        <v>595</v>
      </c>
      <c r="AA116" s="14">
        <v>1</v>
      </c>
      <c r="AB116" s="14">
        <v>720</v>
      </c>
      <c r="AC116" s="14">
        <v>595</v>
      </c>
    </row>
    <row r="117" spans="1:29" x14ac:dyDescent="0.3">
      <c r="A117" s="14" t="s">
        <v>443</v>
      </c>
      <c r="B117" s="15" t="s">
        <v>499</v>
      </c>
      <c r="C117" s="54">
        <v>154.6</v>
      </c>
      <c r="D117" s="16">
        <f t="shared" si="20"/>
        <v>355.58</v>
      </c>
      <c r="E117" s="16"/>
      <c r="F117" s="31"/>
      <c r="G117" s="16"/>
      <c r="H117" s="19"/>
      <c r="I117" s="16"/>
      <c r="J117" s="20"/>
      <c r="K117" s="16"/>
      <c r="L117" s="21"/>
      <c r="M117" s="22">
        <v>600</v>
      </c>
      <c r="N117" s="22">
        <v>2150</v>
      </c>
      <c r="O117" s="22">
        <v>560</v>
      </c>
      <c r="P117" s="14" t="s">
        <v>431</v>
      </c>
      <c r="Q117" s="14" t="s">
        <v>430</v>
      </c>
      <c r="R117" s="14">
        <v>1</v>
      </c>
      <c r="S117" s="14">
        <v>110</v>
      </c>
      <c r="T117" s="14">
        <v>595</v>
      </c>
      <c r="U117" s="14">
        <v>1</v>
      </c>
      <c r="V117" s="14">
        <v>140</v>
      </c>
      <c r="W117" s="14">
        <v>595</v>
      </c>
      <c r="X117" s="14">
        <v>1</v>
      </c>
      <c r="Y117" s="14">
        <v>283</v>
      </c>
      <c r="Z117" s="14">
        <v>595</v>
      </c>
      <c r="AA117" s="14">
        <v>1</v>
      </c>
      <c r="AB117" s="14">
        <v>570</v>
      </c>
      <c r="AC117" s="14">
        <v>595</v>
      </c>
    </row>
    <row r="118" spans="1:29" x14ac:dyDescent="0.3">
      <c r="A118" s="14"/>
      <c r="B118" s="15"/>
      <c r="C118" s="54"/>
      <c r="D118" s="16"/>
      <c r="E118" s="16"/>
      <c r="F118" s="31"/>
      <c r="G118" s="16"/>
      <c r="H118" s="19"/>
      <c r="I118" s="16"/>
      <c r="J118" s="20"/>
      <c r="K118" s="16"/>
      <c r="L118" s="21"/>
      <c r="M118" s="22"/>
      <c r="N118" s="22"/>
      <c r="O118" s="22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1:29" x14ac:dyDescent="0.3">
      <c r="A119" s="14" t="s">
        <v>124</v>
      </c>
      <c r="B119" s="15" t="s">
        <v>125</v>
      </c>
      <c r="C119" s="54">
        <v>79.2</v>
      </c>
      <c r="D119" s="16">
        <f t="shared" ref="D119:D120" si="21">PRODUCT(C119,$D$1)</f>
        <v>182.16</v>
      </c>
      <c r="E119" s="16"/>
      <c r="F119" s="31"/>
      <c r="G119" s="16"/>
      <c r="H119" s="19"/>
      <c r="I119" s="16"/>
      <c r="J119" s="20"/>
      <c r="K119" s="16"/>
      <c r="L119" s="21"/>
      <c r="M119" s="22">
        <v>600</v>
      </c>
      <c r="N119" s="22">
        <v>1970</v>
      </c>
      <c r="O119" s="22">
        <v>560</v>
      </c>
      <c r="P119" s="14" t="s">
        <v>431</v>
      </c>
      <c r="Q119" s="14" t="s">
        <v>430</v>
      </c>
      <c r="R119" s="14">
        <v>1</v>
      </c>
      <c r="S119" s="14">
        <v>895</v>
      </c>
      <c r="T119" s="14">
        <v>595</v>
      </c>
      <c r="U119" s="14">
        <v>1</v>
      </c>
      <c r="V119" s="14">
        <v>1245</v>
      </c>
      <c r="W119" s="14">
        <v>595</v>
      </c>
      <c r="X119" s="14"/>
      <c r="Y119" s="14"/>
      <c r="Z119" s="14"/>
      <c r="AA119" s="14"/>
      <c r="AB119" s="14"/>
      <c r="AC119" s="14"/>
    </row>
    <row r="120" spans="1:29" x14ac:dyDescent="0.3">
      <c r="A120" s="14" t="s">
        <v>126</v>
      </c>
      <c r="B120" s="15" t="s">
        <v>127</v>
      </c>
      <c r="C120" s="54">
        <v>81.400000000000006</v>
      </c>
      <c r="D120" s="16">
        <f t="shared" si="21"/>
        <v>187.22</v>
      </c>
      <c r="E120" s="16"/>
      <c r="F120" s="31"/>
      <c r="G120" s="16"/>
      <c r="H120" s="19"/>
      <c r="I120" s="16"/>
      <c r="J120" s="20"/>
      <c r="K120" s="16"/>
      <c r="L120" s="21"/>
      <c r="M120" s="22">
        <v>600</v>
      </c>
      <c r="N120" s="22">
        <v>2150</v>
      </c>
      <c r="O120" s="22">
        <v>560</v>
      </c>
      <c r="P120" s="14" t="s">
        <v>431</v>
      </c>
      <c r="Q120" s="14" t="s">
        <v>430</v>
      </c>
      <c r="R120" s="14">
        <v>1</v>
      </c>
      <c r="S120" s="14">
        <v>895</v>
      </c>
      <c r="T120" s="14">
        <v>595</v>
      </c>
      <c r="U120" s="14">
        <v>1</v>
      </c>
      <c r="V120" s="14">
        <v>1245</v>
      </c>
      <c r="W120" s="14">
        <v>595</v>
      </c>
      <c r="X120" s="14"/>
      <c r="Y120" s="14"/>
      <c r="Z120" s="14"/>
      <c r="AA120" s="14"/>
      <c r="AB120" s="14"/>
      <c r="AC120" s="14"/>
    </row>
    <row r="121" spans="1:29" x14ac:dyDescent="0.3">
      <c r="A121" s="14"/>
      <c r="B121" s="15"/>
      <c r="C121" s="76"/>
      <c r="D121" s="32"/>
      <c r="E121" s="32"/>
      <c r="F121" s="77"/>
      <c r="G121" s="32"/>
      <c r="H121" s="89"/>
      <c r="I121" s="32"/>
      <c r="J121" s="34"/>
      <c r="K121" s="32"/>
      <c r="L121" s="35"/>
      <c r="M121" s="36"/>
      <c r="N121" s="36"/>
      <c r="O121" s="36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1:29" ht="15.6" x14ac:dyDescent="0.3">
      <c r="A122" s="78" t="s">
        <v>59</v>
      </c>
      <c r="B122" s="15"/>
      <c r="C122" s="79" t="s">
        <v>0</v>
      </c>
      <c r="D122" s="80" t="s">
        <v>0</v>
      </c>
      <c r="E122" s="80"/>
      <c r="F122" s="81"/>
      <c r="G122" s="80"/>
      <c r="H122" s="90"/>
      <c r="I122" s="80"/>
      <c r="J122" s="91"/>
      <c r="K122" s="80"/>
      <c r="L122" s="92"/>
      <c r="M122" s="78" t="s">
        <v>419</v>
      </c>
      <c r="N122" s="78" t="s">
        <v>420</v>
      </c>
      <c r="O122" s="78" t="s">
        <v>421</v>
      </c>
      <c r="P122" s="14" t="s">
        <v>409</v>
      </c>
      <c r="Q122" s="14" t="s">
        <v>409</v>
      </c>
      <c r="R122" s="14" t="s">
        <v>413</v>
      </c>
      <c r="S122" s="14" t="s">
        <v>414</v>
      </c>
      <c r="T122" s="14" t="s">
        <v>415</v>
      </c>
      <c r="U122" s="14" t="s">
        <v>416</v>
      </c>
      <c r="V122" s="14" t="s">
        <v>417</v>
      </c>
      <c r="W122" s="14" t="s">
        <v>418</v>
      </c>
      <c r="X122" s="14" t="s">
        <v>422</v>
      </c>
      <c r="Y122" s="14" t="s">
        <v>423</v>
      </c>
      <c r="Z122" s="14" t="s">
        <v>424</v>
      </c>
      <c r="AA122" s="14" t="s">
        <v>469</v>
      </c>
      <c r="AB122" s="14" t="s">
        <v>470</v>
      </c>
      <c r="AC122" s="14" t="s">
        <v>471</v>
      </c>
    </row>
    <row r="123" spans="1:29" x14ac:dyDescent="0.3">
      <c r="A123" s="14"/>
      <c r="B123" s="15"/>
      <c r="C123" s="54"/>
      <c r="D123" s="16"/>
      <c r="E123" s="16"/>
      <c r="F123" s="31"/>
      <c r="G123" s="16"/>
      <c r="H123" s="19"/>
      <c r="I123" s="16"/>
      <c r="J123" s="20"/>
      <c r="K123" s="16"/>
      <c r="L123" s="21"/>
      <c r="M123" s="22"/>
      <c r="N123" s="22"/>
      <c r="O123" s="22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1:29" x14ac:dyDescent="0.3">
      <c r="A124" s="14" t="s">
        <v>446</v>
      </c>
      <c r="B124" s="15" t="s">
        <v>128</v>
      </c>
      <c r="C124" s="54">
        <v>80.3</v>
      </c>
      <c r="D124" s="16">
        <f t="shared" ref="D124:D128" si="22">PRODUCT(C124,$D$1)</f>
        <v>184.68999999999997</v>
      </c>
      <c r="E124" s="16"/>
      <c r="F124" s="31"/>
      <c r="G124" s="16"/>
      <c r="H124" s="19"/>
      <c r="I124" s="16"/>
      <c r="J124" s="20"/>
      <c r="K124" s="16"/>
      <c r="L124" s="21"/>
      <c r="M124" s="22">
        <v>300</v>
      </c>
      <c r="N124" s="22">
        <v>1970</v>
      </c>
      <c r="O124" s="22">
        <v>560</v>
      </c>
      <c r="P124" s="14" t="s">
        <v>431</v>
      </c>
      <c r="Q124" s="14" t="s">
        <v>432</v>
      </c>
      <c r="R124" s="14">
        <v>1</v>
      </c>
      <c r="S124" s="14">
        <v>715</v>
      </c>
      <c r="T124" s="14">
        <v>295</v>
      </c>
      <c r="U124" s="14">
        <v>1</v>
      </c>
      <c r="V124" s="14">
        <v>1245</v>
      </c>
      <c r="W124" s="14">
        <v>295</v>
      </c>
      <c r="X124" s="14"/>
      <c r="Y124" s="14"/>
      <c r="Z124" s="14"/>
      <c r="AA124" s="14"/>
      <c r="AB124" s="14"/>
      <c r="AC124" s="14"/>
    </row>
    <row r="125" spans="1:29" x14ac:dyDescent="0.3">
      <c r="A125" s="14" t="s">
        <v>447</v>
      </c>
      <c r="B125" s="15" t="s">
        <v>129</v>
      </c>
      <c r="C125" s="54">
        <v>81.400000000000006</v>
      </c>
      <c r="D125" s="16">
        <f t="shared" si="22"/>
        <v>187.22</v>
      </c>
      <c r="E125" s="16"/>
      <c r="F125" s="31"/>
      <c r="G125" s="16"/>
      <c r="H125" s="19"/>
      <c r="I125" s="16"/>
      <c r="J125" s="20"/>
      <c r="K125" s="16"/>
      <c r="L125" s="21"/>
      <c r="M125" s="22">
        <v>400</v>
      </c>
      <c r="N125" s="22">
        <v>1970</v>
      </c>
      <c r="O125" s="22">
        <v>560</v>
      </c>
      <c r="P125" s="14" t="s">
        <v>431</v>
      </c>
      <c r="Q125" s="14" t="s">
        <v>432</v>
      </c>
      <c r="R125" s="14">
        <v>1</v>
      </c>
      <c r="S125" s="14">
        <v>715</v>
      </c>
      <c r="T125" s="14">
        <v>395</v>
      </c>
      <c r="U125" s="14">
        <v>1</v>
      </c>
      <c r="V125" s="14">
        <v>1245</v>
      </c>
      <c r="W125" s="14">
        <v>395</v>
      </c>
      <c r="X125" s="14"/>
      <c r="Y125" s="14"/>
      <c r="Z125" s="14"/>
      <c r="AA125" s="14"/>
      <c r="AB125" s="14"/>
      <c r="AC125" s="14"/>
    </row>
    <row r="126" spans="1:29" x14ac:dyDescent="0.3">
      <c r="A126" s="14" t="s">
        <v>448</v>
      </c>
      <c r="B126" s="15" t="s">
        <v>130</v>
      </c>
      <c r="C126" s="54">
        <v>82.5</v>
      </c>
      <c r="D126" s="16">
        <f t="shared" si="22"/>
        <v>189.74999999999997</v>
      </c>
      <c r="E126" s="16"/>
      <c r="F126" s="31"/>
      <c r="G126" s="16"/>
      <c r="H126" s="19"/>
      <c r="I126" s="16"/>
      <c r="J126" s="20"/>
      <c r="K126" s="16"/>
      <c r="L126" s="21"/>
      <c r="M126" s="22">
        <v>450</v>
      </c>
      <c r="N126" s="22">
        <v>1970</v>
      </c>
      <c r="O126" s="22">
        <v>560</v>
      </c>
      <c r="P126" s="14" t="s">
        <v>431</v>
      </c>
      <c r="Q126" s="14" t="s">
        <v>432</v>
      </c>
      <c r="R126" s="14">
        <v>1</v>
      </c>
      <c r="S126" s="14">
        <v>715</v>
      </c>
      <c r="T126" s="14">
        <v>445</v>
      </c>
      <c r="U126" s="14">
        <v>1</v>
      </c>
      <c r="V126" s="14">
        <v>1245</v>
      </c>
      <c r="W126" s="14">
        <v>445</v>
      </c>
      <c r="X126" s="14"/>
      <c r="Y126" s="14"/>
      <c r="Z126" s="14"/>
      <c r="AA126" s="14"/>
      <c r="AB126" s="14"/>
      <c r="AC126" s="14"/>
    </row>
    <row r="127" spans="1:29" x14ac:dyDescent="0.3">
      <c r="A127" s="14" t="s">
        <v>449</v>
      </c>
      <c r="B127" s="15" t="s">
        <v>131</v>
      </c>
      <c r="C127" s="54">
        <v>83.6</v>
      </c>
      <c r="D127" s="16">
        <f t="shared" si="22"/>
        <v>192.27999999999997</v>
      </c>
      <c r="E127" s="16"/>
      <c r="F127" s="31"/>
      <c r="G127" s="16"/>
      <c r="H127" s="19"/>
      <c r="I127" s="16"/>
      <c r="J127" s="20"/>
      <c r="K127" s="16"/>
      <c r="L127" s="21"/>
      <c r="M127" s="22">
        <v>500</v>
      </c>
      <c r="N127" s="22">
        <v>1970</v>
      </c>
      <c r="O127" s="22">
        <v>560</v>
      </c>
      <c r="P127" s="14" t="s">
        <v>431</v>
      </c>
      <c r="Q127" s="14" t="s">
        <v>432</v>
      </c>
      <c r="R127" s="14">
        <v>1</v>
      </c>
      <c r="S127" s="14">
        <v>715</v>
      </c>
      <c r="T127" s="14">
        <v>495</v>
      </c>
      <c r="U127" s="14">
        <v>1</v>
      </c>
      <c r="V127" s="14">
        <v>1245</v>
      </c>
      <c r="W127" s="14">
        <v>495</v>
      </c>
      <c r="X127" s="14"/>
      <c r="Y127" s="14"/>
      <c r="Z127" s="14"/>
      <c r="AA127" s="14"/>
      <c r="AB127" s="14"/>
      <c r="AC127" s="14"/>
    </row>
    <row r="128" spans="1:29" x14ac:dyDescent="0.3">
      <c r="A128" s="14" t="s">
        <v>450</v>
      </c>
      <c r="B128" s="15" t="s">
        <v>132</v>
      </c>
      <c r="C128" s="54">
        <v>84.7</v>
      </c>
      <c r="D128" s="16">
        <f t="shared" si="22"/>
        <v>194.81</v>
      </c>
      <c r="E128" s="16"/>
      <c r="F128" s="31"/>
      <c r="G128" s="16"/>
      <c r="H128" s="19"/>
      <c r="I128" s="16"/>
      <c r="J128" s="20"/>
      <c r="K128" s="16"/>
      <c r="L128" s="21"/>
      <c r="M128" s="22">
        <v>600</v>
      </c>
      <c r="N128" s="22">
        <v>1970</v>
      </c>
      <c r="O128" s="22">
        <v>560</v>
      </c>
      <c r="P128" s="14" t="s">
        <v>431</v>
      </c>
      <c r="Q128" s="14" t="s">
        <v>432</v>
      </c>
      <c r="R128" s="14">
        <v>1</v>
      </c>
      <c r="S128" s="14">
        <v>715</v>
      </c>
      <c r="T128" s="14">
        <v>595</v>
      </c>
      <c r="U128" s="14">
        <v>1</v>
      </c>
      <c r="V128" s="14">
        <v>1245</v>
      </c>
      <c r="W128" s="14">
        <v>595</v>
      </c>
      <c r="X128" s="14"/>
      <c r="Y128" s="14"/>
      <c r="Z128" s="14"/>
      <c r="AA128" s="14"/>
      <c r="AB128" s="14"/>
      <c r="AC128" s="14"/>
    </row>
    <row r="129" spans="1:29" x14ac:dyDescent="0.3">
      <c r="A129" s="14"/>
      <c r="B129" s="15"/>
      <c r="C129" s="54"/>
      <c r="D129" s="16"/>
      <c r="E129" s="16"/>
      <c r="F129" s="31"/>
      <c r="G129" s="16"/>
      <c r="H129" s="19"/>
      <c r="I129" s="16"/>
      <c r="J129" s="20"/>
      <c r="K129" s="16"/>
      <c r="L129" s="21"/>
      <c r="M129" s="22"/>
      <c r="N129" s="22"/>
      <c r="O129" s="22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1:29" x14ac:dyDescent="0.3">
      <c r="A130" s="14" t="s">
        <v>451</v>
      </c>
      <c r="B130" s="15" t="s">
        <v>133</v>
      </c>
      <c r="C130" s="54">
        <v>83.6</v>
      </c>
      <c r="D130" s="16">
        <f t="shared" ref="D130:D134" si="23">PRODUCT(C130,$D$1)</f>
        <v>192.27999999999997</v>
      </c>
      <c r="E130" s="16"/>
      <c r="F130" s="31"/>
      <c r="G130" s="16"/>
      <c r="H130" s="19"/>
      <c r="I130" s="16"/>
      <c r="J130" s="20"/>
      <c r="K130" s="16"/>
      <c r="L130" s="21"/>
      <c r="M130" s="22">
        <v>300</v>
      </c>
      <c r="N130" s="22">
        <v>2150</v>
      </c>
      <c r="O130" s="22">
        <v>560</v>
      </c>
      <c r="P130" s="14" t="s">
        <v>431</v>
      </c>
      <c r="Q130" s="14" t="s">
        <v>433</v>
      </c>
      <c r="R130" s="14">
        <v>1</v>
      </c>
      <c r="S130" s="14">
        <v>895</v>
      </c>
      <c r="T130" s="14">
        <v>295</v>
      </c>
      <c r="U130" s="14">
        <v>1</v>
      </c>
      <c r="V130" s="14">
        <v>1245</v>
      </c>
      <c r="W130" s="14">
        <v>295</v>
      </c>
      <c r="X130" s="14"/>
      <c r="Y130" s="14"/>
      <c r="Z130" s="14"/>
      <c r="AA130" s="14"/>
      <c r="AB130" s="14"/>
      <c r="AC130" s="14"/>
    </row>
    <row r="131" spans="1:29" x14ac:dyDescent="0.3">
      <c r="A131" s="14" t="s">
        <v>452</v>
      </c>
      <c r="B131" s="15" t="s">
        <v>134</v>
      </c>
      <c r="C131" s="54">
        <v>84.7</v>
      </c>
      <c r="D131" s="16">
        <f t="shared" si="23"/>
        <v>194.81</v>
      </c>
      <c r="E131" s="16"/>
      <c r="F131" s="31"/>
      <c r="G131" s="16"/>
      <c r="H131" s="19"/>
      <c r="I131" s="16"/>
      <c r="J131" s="20"/>
      <c r="K131" s="16"/>
      <c r="L131" s="21"/>
      <c r="M131" s="22">
        <v>400</v>
      </c>
      <c r="N131" s="22">
        <v>2150</v>
      </c>
      <c r="O131" s="22">
        <v>560</v>
      </c>
      <c r="P131" s="14" t="s">
        <v>431</v>
      </c>
      <c r="Q131" s="14" t="s">
        <v>433</v>
      </c>
      <c r="R131" s="14">
        <v>1</v>
      </c>
      <c r="S131" s="14">
        <v>895</v>
      </c>
      <c r="T131" s="14">
        <v>395</v>
      </c>
      <c r="U131" s="14">
        <v>1</v>
      </c>
      <c r="V131" s="14">
        <v>1245</v>
      </c>
      <c r="W131" s="14">
        <v>395</v>
      </c>
      <c r="X131" s="14"/>
      <c r="Y131" s="14"/>
      <c r="Z131" s="14"/>
      <c r="AA131" s="14"/>
      <c r="AB131" s="14"/>
      <c r="AC131" s="14"/>
    </row>
    <row r="132" spans="1:29" x14ac:dyDescent="0.3">
      <c r="A132" s="14" t="s">
        <v>453</v>
      </c>
      <c r="B132" s="15" t="s">
        <v>135</v>
      </c>
      <c r="C132" s="54">
        <v>85.8</v>
      </c>
      <c r="D132" s="16">
        <f t="shared" si="23"/>
        <v>197.33999999999997</v>
      </c>
      <c r="E132" s="16"/>
      <c r="F132" s="31"/>
      <c r="G132" s="16"/>
      <c r="H132" s="19"/>
      <c r="I132" s="16"/>
      <c r="J132" s="20"/>
      <c r="K132" s="16"/>
      <c r="L132" s="21"/>
      <c r="M132" s="22">
        <v>450</v>
      </c>
      <c r="N132" s="22">
        <v>2150</v>
      </c>
      <c r="O132" s="22">
        <v>560</v>
      </c>
      <c r="P132" s="14" t="s">
        <v>431</v>
      </c>
      <c r="Q132" s="14" t="s">
        <v>433</v>
      </c>
      <c r="R132" s="14">
        <v>1</v>
      </c>
      <c r="S132" s="14">
        <v>895</v>
      </c>
      <c r="T132" s="14">
        <v>445</v>
      </c>
      <c r="U132" s="14">
        <v>1</v>
      </c>
      <c r="V132" s="14">
        <v>1245</v>
      </c>
      <c r="W132" s="14">
        <v>445</v>
      </c>
      <c r="X132" s="14"/>
      <c r="Y132" s="14"/>
      <c r="Z132" s="14"/>
      <c r="AA132" s="14"/>
      <c r="AB132" s="14"/>
      <c r="AC132" s="14"/>
    </row>
    <row r="133" spans="1:29" x14ac:dyDescent="0.3">
      <c r="A133" s="14" t="s">
        <v>454</v>
      </c>
      <c r="B133" s="15" t="s">
        <v>136</v>
      </c>
      <c r="C133" s="54">
        <v>86.9</v>
      </c>
      <c r="D133" s="16">
        <f t="shared" si="23"/>
        <v>199.87</v>
      </c>
      <c r="E133" s="16"/>
      <c r="F133" s="31"/>
      <c r="G133" s="16"/>
      <c r="H133" s="19"/>
      <c r="I133" s="16"/>
      <c r="J133" s="20"/>
      <c r="K133" s="16"/>
      <c r="L133" s="21"/>
      <c r="M133" s="22">
        <v>500</v>
      </c>
      <c r="N133" s="22">
        <v>2150</v>
      </c>
      <c r="O133" s="22">
        <v>560</v>
      </c>
      <c r="P133" s="14" t="s">
        <v>431</v>
      </c>
      <c r="Q133" s="14" t="s">
        <v>433</v>
      </c>
      <c r="R133" s="14">
        <v>1</v>
      </c>
      <c r="S133" s="14">
        <v>895</v>
      </c>
      <c r="T133" s="14">
        <v>495</v>
      </c>
      <c r="U133" s="14">
        <v>1</v>
      </c>
      <c r="V133" s="14">
        <v>1245</v>
      </c>
      <c r="W133" s="14">
        <v>495</v>
      </c>
      <c r="X133" s="14"/>
      <c r="Y133" s="14"/>
      <c r="Z133" s="14"/>
      <c r="AA133" s="14"/>
      <c r="AB133" s="14"/>
      <c r="AC133" s="14"/>
    </row>
    <row r="134" spans="1:29" x14ac:dyDescent="0.3">
      <c r="A134" s="14" t="s">
        <v>455</v>
      </c>
      <c r="B134" s="15" t="s">
        <v>137</v>
      </c>
      <c r="C134" s="54">
        <v>88</v>
      </c>
      <c r="D134" s="16">
        <f t="shared" si="23"/>
        <v>202.39999999999998</v>
      </c>
      <c r="E134" s="16"/>
      <c r="F134" s="31"/>
      <c r="G134" s="16"/>
      <c r="H134" s="19"/>
      <c r="I134" s="16"/>
      <c r="J134" s="20"/>
      <c r="K134" s="16"/>
      <c r="L134" s="21"/>
      <c r="M134" s="22">
        <v>600</v>
      </c>
      <c r="N134" s="22">
        <v>2150</v>
      </c>
      <c r="O134" s="22">
        <v>560</v>
      </c>
      <c r="P134" s="14" t="s">
        <v>431</v>
      </c>
      <c r="Q134" s="14" t="s">
        <v>433</v>
      </c>
      <c r="R134" s="14">
        <v>1</v>
      </c>
      <c r="S134" s="14">
        <v>895</v>
      </c>
      <c r="T134" s="14">
        <v>595</v>
      </c>
      <c r="U134" s="14">
        <v>1</v>
      </c>
      <c r="V134" s="14">
        <v>1245</v>
      </c>
      <c r="W134" s="14">
        <v>595</v>
      </c>
      <c r="X134" s="14"/>
      <c r="Y134" s="14"/>
      <c r="Z134" s="14"/>
      <c r="AA134" s="14"/>
      <c r="AB134" s="14"/>
      <c r="AC134" s="14"/>
    </row>
    <row r="135" spans="1:29" x14ac:dyDescent="0.3">
      <c r="A135" s="14"/>
      <c r="B135" s="15"/>
      <c r="C135" s="54"/>
      <c r="D135" s="16"/>
      <c r="E135" s="16"/>
      <c r="F135" s="31"/>
      <c r="G135" s="16"/>
      <c r="H135" s="19"/>
      <c r="I135" s="16"/>
      <c r="J135" s="20"/>
      <c r="K135" s="16"/>
      <c r="L135" s="21"/>
      <c r="M135" s="22"/>
      <c r="N135" s="22"/>
      <c r="O135" s="22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1:29" x14ac:dyDescent="0.3">
      <c r="A136" s="14" t="s">
        <v>478</v>
      </c>
      <c r="B136" s="15" t="s">
        <v>500</v>
      </c>
      <c r="C136" s="54">
        <v>81.400000000000006</v>
      </c>
      <c r="D136" s="16">
        <f t="shared" ref="D136:D137" si="24">PRODUCT(C136,$D$1)</f>
        <v>187.22</v>
      </c>
      <c r="E136" s="16"/>
      <c r="F136" s="31"/>
      <c r="G136" s="16"/>
      <c r="H136" s="19"/>
      <c r="I136" s="16"/>
      <c r="J136" s="20"/>
      <c r="K136" s="16"/>
      <c r="L136" s="21"/>
      <c r="M136" s="22">
        <v>400</v>
      </c>
      <c r="N136" s="22">
        <v>1970</v>
      </c>
      <c r="O136" s="22">
        <v>560</v>
      </c>
      <c r="P136" s="14" t="s">
        <v>480</v>
      </c>
      <c r="Q136" s="14" t="s">
        <v>432</v>
      </c>
      <c r="R136" s="14">
        <v>1</v>
      </c>
      <c r="S136" s="14">
        <v>715</v>
      </c>
      <c r="T136" s="14">
        <v>395</v>
      </c>
      <c r="U136" s="14">
        <v>1</v>
      </c>
      <c r="V136" s="14">
        <v>1245</v>
      </c>
      <c r="W136" s="14">
        <v>395</v>
      </c>
      <c r="X136" s="14"/>
      <c r="Y136" s="14"/>
      <c r="Z136" s="14"/>
      <c r="AA136" s="14"/>
      <c r="AB136" s="14"/>
      <c r="AC136" s="14"/>
    </row>
    <row r="137" spans="1:29" x14ac:dyDescent="0.3">
      <c r="A137" s="14" t="s">
        <v>479</v>
      </c>
      <c r="B137" s="15" t="s">
        <v>501</v>
      </c>
      <c r="C137" s="54">
        <v>84.7</v>
      </c>
      <c r="D137" s="16">
        <f t="shared" si="24"/>
        <v>194.81</v>
      </c>
      <c r="E137" s="16"/>
      <c r="F137" s="31"/>
      <c r="G137" s="16"/>
      <c r="H137" s="19"/>
      <c r="I137" s="16"/>
      <c r="J137" s="20"/>
      <c r="K137" s="16"/>
      <c r="L137" s="21"/>
      <c r="M137" s="22">
        <v>600</v>
      </c>
      <c r="N137" s="22">
        <v>1970</v>
      </c>
      <c r="O137" s="22">
        <v>560</v>
      </c>
      <c r="P137" s="14" t="s">
        <v>480</v>
      </c>
      <c r="Q137" s="14" t="s">
        <v>432</v>
      </c>
      <c r="R137" s="14">
        <v>1</v>
      </c>
      <c r="S137" s="14">
        <v>715</v>
      </c>
      <c r="T137" s="14">
        <v>595</v>
      </c>
      <c r="U137" s="14">
        <v>1</v>
      </c>
      <c r="V137" s="14">
        <v>1245</v>
      </c>
      <c r="W137" s="14">
        <v>595</v>
      </c>
      <c r="X137" s="14"/>
      <c r="Y137" s="14"/>
      <c r="Z137" s="14"/>
      <c r="AA137" s="14"/>
      <c r="AB137" s="14"/>
      <c r="AC137" s="14"/>
    </row>
    <row r="138" spans="1:29" x14ac:dyDescent="0.3">
      <c r="A138" s="14"/>
      <c r="B138" s="15"/>
      <c r="C138" s="54"/>
      <c r="D138" s="16"/>
      <c r="E138" s="16"/>
      <c r="F138" s="31"/>
      <c r="G138" s="16"/>
      <c r="H138" s="19"/>
      <c r="I138" s="16"/>
      <c r="J138" s="20"/>
      <c r="K138" s="16"/>
      <c r="L138" s="21"/>
      <c r="M138" s="22"/>
      <c r="N138" s="22"/>
      <c r="O138" s="22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1:29" x14ac:dyDescent="0.3">
      <c r="A139" s="14" t="s">
        <v>533</v>
      </c>
      <c r="B139" s="15" t="s">
        <v>535</v>
      </c>
      <c r="C139" s="54">
        <v>83.6</v>
      </c>
      <c r="D139" s="16">
        <f t="shared" ref="D139:D140" si="25">PRODUCT(C139,$D$1)</f>
        <v>192.27999999999997</v>
      </c>
      <c r="E139" s="16"/>
      <c r="F139" s="31"/>
      <c r="G139" s="16"/>
      <c r="H139" s="19"/>
      <c r="I139" s="16"/>
      <c r="J139" s="20"/>
      <c r="K139" s="16"/>
      <c r="L139" s="21"/>
      <c r="M139" s="22">
        <v>900</v>
      </c>
      <c r="N139" s="22">
        <v>1970</v>
      </c>
      <c r="O139" s="22">
        <v>900</v>
      </c>
      <c r="P139" s="14" t="s">
        <v>431</v>
      </c>
      <c r="Q139" s="14" t="s">
        <v>433</v>
      </c>
      <c r="R139" s="14">
        <v>1</v>
      </c>
      <c r="S139" s="14">
        <v>715</v>
      </c>
      <c r="T139" s="14">
        <v>335</v>
      </c>
      <c r="U139" s="14">
        <v>1</v>
      </c>
      <c r="V139" s="14">
        <v>715</v>
      </c>
      <c r="W139" s="14">
        <v>315</v>
      </c>
      <c r="X139" s="14">
        <v>1</v>
      </c>
      <c r="Y139" s="14">
        <v>1245</v>
      </c>
      <c r="Z139" s="14">
        <v>335</v>
      </c>
      <c r="AA139" s="14">
        <v>1</v>
      </c>
      <c r="AB139" s="14">
        <v>1245</v>
      </c>
      <c r="AC139" s="14">
        <v>315</v>
      </c>
    </row>
    <row r="140" spans="1:29" x14ac:dyDescent="0.3">
      <c r="A140" s="14" t="s">
        <v>534</v>
      </c>
      <c r="B140" s="15" t="s">
        <v>536</v>
      </c>
      <c r="C140" s="54">
        <v>84.7</v>
      </c>
      <c r="D140" s="16">
        <f t="shared" si="25"/>
        <v>194.81</v>
      </c>
      <c r="E140" s="16"/>
      <c r="F140" s="31"/>
      <c r="G140" s="16"/>
      <c r="H140" s="19"/>
      <c r="I140" s="16"/>
      <c r="J140" s="20"/>
      <c r="K140" s="16"/>
      <c r="L140" s="21"/>
      <c r="M140" s="22">
        <v>900</v>
      </c>
      <c r="N140" s="22">
        <v>2150</v>
      </c>
      <c r="O140" s="22">
        <v>900</v>
      </c>
      <c r="P140" s="14" t="s">
        <v>431</v>
      </c>
      <c r="Q140" s="14" t="s">
        <v>433</v>
      </c>
      <c r="R140" s="14">
        <v>1</v>
      </c>
      <c r="S140" s="14">
        <v>895</v>
      </c>
      <c r="T140" s="14">
        <v>335</v>
      </c>
      <c r="U140" s="14">
        <v>1</v>
      </c>
      <c r="V140" s="14">
        <v>895</v>
      </c>
      <c r="W140" s="14">
        <v>315</v>
      </c>
      <c r="X140" s="14">
        <v>1</v>
      </c>
      <c r="Y140" s="14">
        <v>1245</v>
      </c>
      <c r="Z140" s="14">
        <v>335</v>
      </c>
      <c r="AA140" s="14">
        <v>1</v>
      </c>
      <c r="AB140" s="14">
        <v>1245</v>
      </c>
      <c r="AC140" s="14">
        <v>315</v>
      </c>
    </row>
    <row r="141" spans="1:29" x14ac:dyDescent="0.3">
      <c r="A141" s="14"/>
      <c r="B141" s="15"/>
      <c r="C141" s="54"/>
      <c r="D141" s="16"/>
      <c r="E141" s="16"/>
      <c r="F141" s="31"/>
      <c r="G141" s="16"/>
      <c r="H141" s="19"/>
      <c r="I141" s="16"/>
      <c r="J141" s="20"/>
      <c r="K141" s="16"/>
      <c r="L141" s="21"/>
      <c r="M141" s="22"/>
      <c r="N141" s="22"/>
      <c r="O141" s="22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1:29" x14ac:dyDescent="0.3">
      <c r="A142" s="14" t="s">
        <v>539</v>
      </c>
      <c r="B142" s="15" t="s">
        <v>537</v>
      </c>
      <c r="C142" s="54">
        <v>81.400000000000006</v>
      </c>
      <c r="D142" s="16">
        <f t="shared" ref="D142:D143" si="26">PRODUCT(C142,$D$1)</f>
        <v>187.22</v>
      </c>
      <c r="E142" s="16">
        <v>81.72</v>
      </c>
      <c r="F142" s="31"/>
      <c r="G142" s="16"/>
      <c r="H142" s="19"/>
      <c r="I142" s="16"/>
      <c r="J142" s="20"/>
      <c r="K142" s="16"/>
      <c r="L142" s="21"/>
      <c r="M142" s="22">
        <v>400</v>
      </c>
      <c r="N142" s="22">
        <v>2150</v>
      </c>
      <c r="O142" s="22">
        <v>560</v>
      </c>
      <c r="P142" s="14" t="s">
        <v>480</v>
      </c>
      <c r="Q142" s="14" t="s">
        <v>432</v>
      </c>
      <c r="R142" s="14">
        <v>1</v>
      </c>
      <c r="S142" s="14">
        <v>895</v>
      </c>
      <c r="T142" s="14">
        <v>395</v>
      </c>
      <c r="U142" s="14">
        <v>1</v>
      </c>
      <c r="V142" s="14">
        <v>1245</v>
      </c>
      <c r="W142" s="14">
        <v>395</v>
      </c>
      <c r="X142" s="14"/>
      <c r="Y142" s="14"/>
      <c r="Z142" s="14"/>
      <c r="AA142" s="14"/>
      <c r="AB142" s="14"/>
      <c r="AC142" s="14"/>
    </row>
    <row r="143" spans="1:29" x14ac:dyDescent="0.3">
      <c r="A143" s="14" t="s">
        <v>540</v>
      </c>
      <c r="B143" s="15" t="s">
        <v>538</v>
      </c>
      <c r="C143" s="54">
        <v>84.7</v>
      </c>
      <c r="D143" s="16">
        <f t="shared" si="26"/>
        <v>194.81</v>
      </c>
      <c r="E143" s="16">
        <v>113.16</v>
      </c>
      <c r="F143" s="31"/>
      <c r="G143" s="16"/>
      <c r="H143" s="19"/>
      <c r="I143" s="16"/>
      <c r="J143" s="20"/>
      <c r="K143" s="16"/>
      <c r="L143" s="21"/>
      <c r="M143" s="22">
        <v>600</v>
      </c>
      <c r="N143" s="22">
        <v>2150</v>
      </c>
      <c r="O143" s="22">
        <v>560</v>
      </c>
      <c r="P143" s="14" t="s">
        <v>480</v>
      </c>
      <c r="Q143" s="14" t="s">
        <v>432</v>
      </c>
      <c r="R143" s="14">
        <v>1</v>
      </c>
      <c r="S143" s="14">
        <v>895</v>
      </c>
      <c r="T143" s="14">
        <v>595</v>
      </c>
      <c r="U143" s="14">
        <v>1</v>
      </c>
      <c r="V143" s="14">
        <v>1245</v>
      </c>
      <c r="W143" s="14">
        <v>595</v>
      </c>
      <c r="X143" s="14"/>
      <c r="Y143" s="14"/>
      <c r="Z143" s="14"/>
      <c r="AA143" s="14"/>
      <c r="AB143" s="14"/>
      <c r="AC143" s="14"/>
    </row>
    <row r="144" spans="1:29" x14ac:dyDescent="0.3">
      <c r="A144" s="14"/>
      <c r="B144" s="15"/>
      <c r="C144" s="54"/>
      <c r="D144" s="16"/>
      <c r="E144" s="16"/>
      <c r="F144" s="31"/>
      <c r="G144" s="16"/>
      <c r="H144" s="19"/>
      <c r="I144" s="16"/>
      <c r="J144" s="20"/>
      <c r="K144" s="16"/>
      <c r="L144" s="21"/>
      <c r="M144" s="22"/>
      <c r="N144" s="22"/>
      <c r="O144" s="22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1:29" x14ac:dyDescent="0.3">
      <c r="A145" s="14" t="s">
        <v>138</v>
      </c>
      <c r="B145" s="15" t="s">
        <v>139</v>
      </c>
      <c r="C145" s="54">
        <v>25.3</v>
      </c>
      <c r="D145" s="16">
        <f t="shared" ref="D145:D153" si="27">PRODUCT(C145,$D$1)</f>
        <v>58.19</v>
      </c>
      <c r="E145" s="16">
        <v>20.76</v>
      </c>
      <c r="F145" s="31"/>
      <c r="G145" s="16"/>
      <c r="H145" s="19"/>
      <c r="I145" s="16"/>
      <c r="J145" s="20"/>
      <c r="K145" s="16"/>
      <c r="L145" s="21"/>
      <c r="M145" s="22">
        <v>300</v>
      </c>
      <c r="N145" s="22">
        <v>575</v>
      </c>
      <c r="O145" s="22">
        <v>330</v>
      </c>
      <c r="P145" s="14" t="s">
        <v>434</v>
      </c>
      <c r="Q145" s="14" t="s">
        <v>435</v>
      </c>
      <c r="R145" s="14">
        <v>1</v>
      </c>
      <c r="S145" s="22">
        <v>570</v>
      </c>
      <c r="T145" s="14">
        <v>295</v>
      </c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1:29" x14ac:dyDescent="0.3">
      <c r="A146" s="14" t="s">
        <v>140</v>
      </c>
      <c r="B146" s="15" t="s">
        <v>141</v>
      </c>
      <c r="C146" s="54">
        <v>26.4</v>
      </c>
      <c r="D146" s="16">
        <f t="shared" si="27"/>
        <v>60.719999999999992</v>
      </c>
      <c r="E146" s="16">
        <v>24.09</v>
      </c>
      <c r="F146" s="31"/>
      <c r="G146" s="16"/>
      <c r="H146" s="19"/>
      <c r="I146" s="16"/>
      <c r="J146" s="20"/>
      <c r="K146" s="16"/>
      <c r="L146" s="21"/>
      <c r="M146" s="22">
        <v>400</v>
      </c>
      <c r="N146" s="22">
        <v>575</v>
      </c>
      <c r="O146" s="22">
        <v>330</v>
      </c>
      <c r="P146" s="14" t="s">
        <v>434</v>
      </c>
      <c r="Q146" s="14" t="s">
        <v>435</v>
      </c>
      <c r="R146" s="14">
        <v>1</v>
      </c>
      <c r="S146" s="22">
        <v>570</v>
      </c>
      <c r="T146" s="14">
        <v>395</v>
      </c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1:29" x14ac:dyDescent="0.3">
      <c r="A147" s="14" t="s">
        <v>142</v>
      </c>
      <c r="B147" s="15" t="s">
        <v>143</v>
      </c>
      <c r="C147" s="54">
        <v>27.5</v>
      </c>
      <c r="D147" s="16">
        <f t="shared" si="27"/>
        <v>63.249999999999993</v>
      </c>
      <c r="E147" s="16">
        <v>25.84</v>
      </c>
      <c r="F147" s="31"/>
      <c r="G147" s="16"/>
      <c r="H147" s="19"/>
      <c r="I147" s="16"/>
      <c r="J147" s="20"/>
      <c r="K147" s="16"/>
      <c r="L147" s="21"/>
      <c r="M147" s="22">
        <v>450</v>
      </c>
      <c r="N147" s="22">
        <v>575</v>
      </c>
      <c r="O147" s="22">
        <v>330</v>
      </c>
      <c r="P147" s="14" t="s">
        <v>434</v>
      </c>
      <c r="Q147" s="14" t="s">
        <v>435</v>
      </c>
      <c r="R147" s="14">
        <v>1</v>
      </c>
      <c r="S147" s="22">
        <v>570</v>
      </c>
      <c r="T147" s="14">
        <v>445</v>
      </c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1:29" x14ac:dyDescent="0.3">
      <c r="A148" s="14" t="s">
        <v>144</v>
      </c>
      <c r="B148" s="15" t="s">
        <v>145</v>
      </c>
      <c r="C148" s="54">
        <v>28.6</v>
      </c>
      <c r="D148" s="16">
        <f t="shared" si="27"/>
        <v>65.78</v>
      </c>
      <c r="E148" s="16">
        <v>27.56</v>
      </c>
      <c r="F148" s="31"/>
      <c r="G148" s="16"/>
      <c r="H148" s="19"/>
      <c r="I148" s="16"/>
      <c r="J148" s="20"/>
      <c r="K148" s="16"/>
      <c r="L148" s="21"/>
      <c r="M148" s="22">
        <v>500</v>
      </c>
      <c r="N148" s="22">
        <v>575</v>
      </c>
      <c r="O148" s="22">
        <v>330</v>
      </c>
      <c r="P148" s="14" t="s">
        <v>434</v>
      </c>
      <c r="Q148" s="14" t="s">
        <v>435</v>
      </c>
      <c r="R148" s="14">
        <v>1</v>
      </c>
      <c r="S148" s="22">
        <v>570</v>
      </c>
      <c r="T148" s="14">
        <v>495</v>
      </c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1:29" x14ac:dyDescent="0.3">
      <c r="A149" s="14" t="s">
        <v>146</v>
      </c>
      <c r="B149" s="15" t="s">
        <v>147</v>
      </c>
      <c r="C149" s="54">
        <v>29.7</v>
      </c>
      <c r="D149" s="16">
        <f t="shared" si="27"/>
        <v>68.309999999999988</v>
      </c>
      <c r="E149" s="16">
        <v>30.96</v>
      </c>
      <c r="F149" s="31"/>
      <c r="G149" s="16"/>
      <c r="H149" s="19"/>
      <c r="I149" s="16"/>
      <c r="J149" s="20"/>
      <c r="K149" s="16"/>
      <c r="L149" s="21"/>
      <c r="M149" s="22">
        <v>600</v>
      </c>
      <c r="N149" s="22">
        <v>575</v>
      </c>
      <c r="O149" s="22">
        <v>330</v>
      </c>
      <c r="P149" s="14" t="s">
        <v>434</v>
      </c>
      <c r="Q149" s="14" t="s">
        <v>435</v>
      </c>
      <c r="R149" s="14">
        <v>1</v>
      </c>
      <c r="S149" s="22">
        <v>570</v>
      </c>
      <c r="T149" s="14">
        <v>595</v>
      </c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1:29" x14ac:dyDescent="0.3">
      <c r="A150" s="14" t="s">
        <v>148</v>
      </c>
      <c r="B150" s="15" t="s">
        <v>149</v>
      </c>
      <c r="C150" s="54">
        <v>33</v>
      </c>
      <c r="D150" s="16">
        <f t="shared" si="27"/>
        <v>75.899999999999991</v>
      </c>
      <c r="E150" s="16">
        <v>45.86</v>
      </c>
      <c r="F150" s="31"/>
      <c r="G150" s="16"/>
      <c r="H150" s="19"/>
      <c r="I150" s="16"/>
      <c r="J150" s="20"/>
      <c r="K150" s="16"/>
      <c r="L150" s="21"/>
      <c r="M150" s="22">
        <v>800</v>
      </c>
      <c r="N150" s="22">
        <v>575</v>
      </c>
      <c r="O150" s="22">
        <v>330</v>
      </c>
      <c r="P150" s="14" t="s">
        <v>434</v>
      </c>
      <c r="Q150" s="14" t="s">
        <v>435</v>
      </c>
      <c r="R150" s="14">
        <v>2</v>
      </c>
      <c r="S150" s="22">
        <v>570</v>
      </c>
      <c r="T150" s="14">
        <v>395</v>
      </c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1:29" x14ac:dyDescent="0.3">
      <c r="A151" s="14" t="s">
        <v>552</v>
      </c>
      <c r="B151" s="15" t="s">
        <v>553</v>
      </c>
      <c r="C151" s="54">
        <v>34</v>
      </c>
      <c r="D151" s="16">
        <f t="shared" si="27"/>
        <v>78.199999999999989</v>
      </c>
      <c r="E151" s="16">
        <v>57.32</v>
      </c>
      <c r="F151" s="31"/>
      <c r="G151" s="16"/>
      <c r="H151" s="19"/>
      <c r="I151" s="16"/>
      <c r="J151" s="20"/>
      <c r="K151" s="16"/>
      <c r="L151" s="21"/>
      <c r="M151" s="22">
        <v>900</v>
      </c>
      <c r="N151" s="22">
        <v>575</v>
      </c>
      <c r="O151" s="22">
        <v>330</v>
      </c>
      <c r="P151" s="14" t="s">
        <v>434</v>
      </c>
      <c r="Q151" s="14" t="s">
        <v>435</v>
      </c>
      <c r="R151" s="14">
        <v>2</v>
      </c>
      <c r="S151" s="22">
        <v>570</v>
      </c>
      <c r="T151" s="14">
        <v>445</v>
      </c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1:29" x14ac:dyDescent="0.3">
      <c r="A152" s="14" t="s">
        <v>150</v>
      </c>
      <c r="B152" s="15" t="s">
        <v>151</v>
      </c>
      <c r="C152" s="54">
        <v>35.200000000000003</v>
      </c>
      <c r="D152" s="16">
        <f t="shared" si="27"/>
        <v>80.959999999999994</v>
      </c>
      <c r="E152" s="16">
        <v>57.32</v>
      </c>
      <c r="F152" s="31"/>
      <c r="G152" s="16"/>
      <c r="H152" s="19"/>
      <c r="I152" s="16"/>
      <c r="J152" s="20"/>
      <c r="K152" s="16"/>
      <c r="L152" s="21"/>
      <c r="M152" s="22">
        <v>1000</v>
      </c>
      <c r="N152" s="22">
        <v>575</v>
      </c>
      <c r="O152" s="22">
        <v>330</v>
      </c>
      <c r="P152" s="14" t="s">
        <v>434</v>
      </c>
      <c r="Q152" s="14" t="s">
        <v>435</v>
      </c>
      <c r="R152" s="14">
        <v>2</v>
      </c>
      <c r="S152" s="22">
        <v>570</v>
      </c>
      <c r="T152" s="14">
        <v>495</v>
      </c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1:29" x14ac:dyDescent="0.3">
      <c r="A153" s="14" t="s">
        <v>152</v>
      </c>
      <c r="B153" s="15" t="s">
        <v>153</v>
      </c>
      <c r="C153" s="54">
        <v>37.4</v>
      </c>
      <c r="D153" s="16">
        <f t="shared" si="27"/>
        <v>86.02</v>
      </c>
      <c r="E153" s="16"/>
      <c r="F153" s="31"/>
      <c r="G153" s="16"/>
      <c r="H153" s="19"/>
      <c r="I153" s="16"/>
      <c r="J153" s="20"/>
      <c r="K153" s="16"/>
      <c r="L153" s="21"/>
      <c r="M153" s="22">
        <v>1200</v>
      </c>
      <c r="N153" s="22">
        <v>575</v>
      </c>
      <c r="O153" s="22">
        <v>330</v>
      </c>
      <c r="P153" s="14" t="s">
        <v>434</v>
      </c>
      <c r="Q153" s="14" t="s">
        <v>435</v>
      </c>
      <c r="R153" s="14">
        <v>2</v>
      </c>
      <c r="S153" s="22">
        <v>570</v>
      </c>
      <c r="T153" s="14">
        <v>595</v>
      </c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1:29" x14ac:dyDescent="0.3">
      <c r="A154" s="14"/>
      <c r="B154" s="25" t="s">
        <v>154</v>
      </c>
      <c r="C154" s="54"/>
      <c r="D154" s="16"/>
      <c r="E154" s="16"/>
      <c r="F154" s="31"/>
      <c r="G154" s="16"/>
      <c r="H154" s="19"/>
      <c r="I154" s="16"/>
      <c r="J154" s="20"/>
      <c r="K154" s="16"/>
      <c r="L154" s="21"/>
      <c r="M154" s="22"/>
      <c r="N154" s="22"/>
      <c r="O154" s="22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1:29" x14ac:dyDescent="0.3">
      <c r="A155" s="14"/>
      <c r="B155" s="15"/>
      <c r="C155" s="54"/>
      <c r="D155" s="16"/>
      <c r="E155" s="16"/>
      <c r="F155" s="31"/>
      <c r="G155" s="16"/>
      <c r="H155" s="19"/>
      <c r="I155" s="16"/>
      <c r="J155" s="20"/>
      <c r="K155" s="16"/>
      <c r="L155" s="21"/>
      <c r="M155" s="22"/>
      <c r="N155" s="22"/>
      <c r="O155" s="22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1:29" x14ac:dyDescent="0.3">
      <c r="A156" s="14"/>
      <c r="B156" s="15"/>
      <c r="C156" s="54"/>
      <c r="D156" s="16"/>
      <c r="E156" s="16"/>
      <c r="F156" s="31"/>
      <c r="G156" s="16"/>
      <c r="H156" s="19"/>
      <c r="I156" s="16"/>
      <c r="J156" s="20"/>
      <c r="K156" s="16"/>
      <c r="L156" s="21"/>
      <c r="M156" s="22"/>
      <c r="N156" s="22"/>
      <c r="O156" s="22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1:29" x14ac:dyDescent="0.3">
      <c r="A157" s="14" t="s">
        <v>155</v>
      </c>
      <c r="B157" s="15" t="s">
        <v>156</v>
      </c>
      <c r="C157" s="54">
        <v>26.4</v>
      </c>
      <c r="D157" s="16">
        <f t="shared" ref="D157:D165" si="28">PRODUCT(C157,$D$1)</f>
        <v>60.719999999999992</v>
      </c>
      <c r="E157" s="16">
        <v>24.55</v>
      </c>
      <c r="F157" s="31"/>
      <c r="G157" s="16"/>
      <c r="H157" s="19"/>
      <c r="I157" s="16"/>
      <c r="J157" s="20"/>
      <c r="K157" s="16"/>
      <c r="L157" s="21"/>
      <c r="M157" s="22">
        <v>300</v>
      </c>
      <c r="N157" s="22">
        <v>720</v>
      </c>
      <c r="O157" s="22">
        <v>330</v>
      </c>
      <c r="P157" s="14" t="s">
        <v>434</v>
      </c>
      <c r="Q157" s="14" t="s">
        <v>432</v>
      </c>
      <c r="R157" s="14">
        <v>1</v>
      </c>
      <c r="S157" s="14">
        <v>715</v>
      </c>
      <c r="T157" s="14">
        <v>295</v>
      </c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1:29" x14ac:dyDescent="0.3">
      <c r="A158" s="14" t="s">
        <v>157</v>
      </c>
      <c r="B158" s="15" t="s">
        <v>158</v>
      </c>
      <c r="C158" s="54">
        <v>27.5</v>
      </c>
      <c r="D158" s="16">
        <f t="shared" si="28"/>
        <v>63.249999999999993</v>
      </c>
      <c r="E158" s="16">
        <v>27.02</v>
      </c>
      <c r="F158" s="31"/>
      <c r="G158" s="16"/>
      <c r="H158" s="19"/>
      <c r="I158" s="16"/>
      <c r="J158" s="20"/>
      <c r="K158" s="16"/>
      <c r="L158" s="21"/>
      <c r="M158" s="22">
        <v>400</v>
      </c>
      <c r="N158" s="22">
        <v>720</v>
      </c>
      <c r="O158" s="22">
        <v>330</v>
      </c>
      <c r="P158" s="14" t="s">
        <v>434</v>
      </c>
      <c r="Q158" s="14" t="s">
        <v>432</v>
      </c>
      <c r="R158" s="14">
        <v>1</v>
      </c>
      <c r="S158" s="14">
        <v>715</v>
      </c>
      <c r="T158" s="14">
        <v>395</v>
      </c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1:29" x14ac:dyDescent="0.3">
      <c r="A159" s="14" t="s">
        <v>159</v>
      </c>
      <c r="B159" s="15" t="s">
        <v>160</v>
      </c>
      <c r="C159" s="54">
        <v>28.6</v>
      </c>
      <c r="D159" s="16">
        <f t="shared" si="28"/>
        <v>65.78</v>
      </c>
      <c r="E159" s="16">
        <v>31.32</v>
      </c>
      <c r="F159" s="31"/>
      <c r="G159" s="16"/>
      <c r="H159" s="19"/>
      <c r="I159" s="16"/>
      <c r="J159" s="20"/>
      <c r="K159" s="16"/>
      <c r="L159" s="21"/>
      <c r="M159" s="22">
        <v>450</v>
      </c>
      <c r="N159" s="22">
        <v>720</v>
      </c>
      <c r="O159" s="22">
        <v>330</v>
      </c>
      <c r="P159" s="14" t="s">
        <v>434</v>
      </c>
      <c r="Q159" s="14" t="s">
        <v>432</v>
      </c>
      <c r="R159" s="14">
        <v>1</v>
      </c>
      <c r="S159" s="14">
        <v>715</v>
      </c>
      <c r="T159" s="14">
        <v>445</v>
      </c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1:29" x14ac:dyDescent="0.3">
      <c r="A160" s="14" t="s">
        <v>161</v>
      </c>
      <c r="B160" s="15" t="s">
        <v>162</v>
      </c>
      <c r="C160" s="54">
        <v>29.7</v>
      </c>
      <c r="D160" s="16">
        <f t="shared" si="28"/>
        <v>68.309999999999988</v>
      </c>
      <c r="E160" s="16">
        <v>32.22</v>
      </c>
      <c r="F160" s="31"/>
      <c r="G160" s="16"/>
      <c r="H160" s="19"/>
      <c r="I160" s="16"/>
      <c r="J160" s="20"/>
      <c r="K160" s="16"/>
      <c r="L160" s="21"/>
      <c r="M160" s="22">
        <v>500</v>
      </c>
      <c r="N160" s="22">
        <v>720</v>
      </c>
      <c r="O160" s="22">
        <v>330</v>
      </c>
      <c r="P160" s="14" t="s">
        <v>434</v>
      </c>
      <c r="Q160" s="14" t="s">
        <v>432</v>
      </c>
      <c r="R160" s="14">
        <v>1</v>
      </c>
      <c r="S160" s="14">
        <v>715</v>
      </c>
      <c r="T160" s="14">
        <v>495</v>
      </c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1:29" x14ac:dyDescent="0.3">
      <c r="A161" s="14" t="s">
        <v>163</v>
      </c>
      <c r="B161" s="15" t="s">
        <v>164</v>
      </c>
      <c r="C161" s="54">
        <v>30.8</v>
      </c>
      <c r="D161" s="16">
        <f t="shared" si="28"/>
        <v>70.839999999999989</v>
      </c>
      <c r="E161" s="16">
        <v>38.44</v>
      </c>
      <c r="F161" s="31"/>
      <c r="G161" s="16"/>
      <c r="H161" s="19"/>
      <c r="I161" s="16"/>
      <c r="J161" s="20"/>
      <c r="K161" s="16"/>
      <c r="L161" s="21"/>
      <c r="M161" s="22">
        <v>600</v>
      </c>
      <c r="N161" s="22">
        <v>720</v>
      </c>
      <c r="O161" s="22">
        <v>330</v>
      </c>
      <c r="P161" s="14" t="s">
        <v>434</v>
      </c>
      <c r="Q161" s="14" t="s">
        <v>432</v>
      </c>
      <c r="R161" s="14">
        <v>1</v>
      </c>
      <c r="S161" s="14">
        <v>715</v>
      </c>
      <c r="T161" s="14">
        <v>595</v>
      </c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1:29" x14ac:dyDescent="0.3">
      <c r="A162" s="14" t="s">
        <v>165</v>
      </c>
      <c r="B162" s="15" t="s">
        <v>166</v>
      </c>
      <c r="C162" s="54">
        <v>35.200000000000003</v>
      </c>
      <c r="D162" s="16">
        <f t="shared" si="28"/>
        <v>80.959999999999994</v>
      </c>
      <c r="E162" s="16">
        <v>53.61</v>
      </c>
      <c r="F162" s="31"/>
      <c r="G162" s="16"/>
      <c r="H162" s="19"/>
      <c r="I162" s="16"/>
      <c r="J162" s="20"/>
      <c r="K162" s="16"/>
      <c r="L162" s="21"/>
      <c r="M162" s="22">
        <v>800</v>
      </c>
      <c r="N162" s="22">
        <v>720</v>
      </c>
      <c r="O162" s="22">
        <v>330</v>
      </c>
      <c r="P162" s="14" t="s">
        <v>434</v>
      </c>
      <c r="Q162" s="14" t="s">
        <v>432</v>
      </c>
      <c r="R162" s="14">
        <v>2</v>
      </c>
      <c r="S162" s="14">
        <v>715</v>
      </c>
      <c r="T162" s="14">
        <v>395</v>
      </c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1:29" x14ac:dyDescent="0.3">
      <c r="A163" s="14" t="s">
        <v>550</v>
      </c>
      <c r="B163" s="15" t="s">
        <v>551</v>
      </c>
      <c r="C163" s="54">
        <v>36.200000000000003</v>
      </c>
      <c r="D163" s="16">
        <f t="shared" si="28"/>
        <v>83.26</v>
      </c>
      <c r="E163" s="16">
        <v>66.599999999999994</v>
      </c>
      <c r="F163" s="31"/>
      <c r="G163" s="16"/>
      <c r="H163" s="19"/>
      <c r="I163" s="16"/>
      <c r="J163" s="20"/>
      <c r="K163" s="16"/>
      <c r="L163" s="21"/>
      <c r="M163" s="22">
        <v>900</v>
      </c>
      <c r="N163" s="22">
        <v>720</v>
      </c>
      <c r="O163" s="22">
        <v>330</v>
      </c>
      <c r="P163" s="14" t="s">
        <v>434</v>
      </c>
      <c r="Q163" s="14" t="s">
        <v>432</v>
      </c>
      <c r="R163" s="14">
        <v>2</v>
      </c>
      <c r="S163" s="14">
        <v>715</v>
      </c>
      <c r="T163" s="14">
        <v>445</v>
      </c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1:29" x14ac:dyDescent="0.3">
      <c r="A164" s="14" t="s">
        <v>167</v>
      </c>
      <c r="B164" s="15" t="s">
        <v>168</v>
      </c>
      <c r="C164" s="54">
        <v>37.4</v>
      </c>
      <c r="D164" s="16">
        <f t="shared" si="28"/>
        <v>86.02</v>
      </c>
      <c r="E164" s="16">
        <v>66.599999999999994</v>
      </c>
      <c r="F164" s="31"/>
      <c r="G164" s="16"/>
      <c r="H164" s="19"/>
      <c r="I164" s="16"/>
      <c r="J164" s="20"/>
      <c r="K164" s="16"/>
      <c r="L164" s="21"/>
      <c r="M164" s="22">
        <v>1000</v>
      </c>
      <c r="N164" s="22">
        <v>720</v>
      </c>
      <c r="O164" s="22">
        <v>330</v>
      </c>
      <c r="P164" s="14" t="s">
        <v>434</v>
      </c>
      <c r="Q164" s="14" t="s">
        <v>432</v>
      </c>
      <c r="R164" s="14">
        <v>2</v>
      </c>
      <c r="S164" s="14">
        <v>715</v>
      </c>
      <c r="T164" s="14">
        <v>495</v>
      </c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1:29" x14ac:dyDescent="0.3">
      <c r="A165" s="14" t="s">
        <v>169</v>
      </c>
      <c r="B165" s="15" t="s">
        <v>170</v>
      </c>
      <c r="C165" s="54">
        <v>39.6</v>
      </c>
      <c r="D165" s="16">
        <f t="shared" si="28"/>
        <v>91.08</v>
      </c>
      <c r="E165" s="16"/>
      <c r="F165" s="31"/>
      <c r="G165" s="16"/>
      <c r="H165" s="19"/>
      <c r="I165" s="16"/>
      <c r="J165" s="20"/>
      <c r="K165" s="16"/>
      <c r="L165" s="21"/>
      <c r="M165" s="22">
        <v>1200</v>
      </c>
      <c r="N165" s="22">
        <v>720</v>
      </c>
      <c r="O165" s="22">
        <v>330</v>
      </c>
      <c r="P165" s="14" t="s">
        <v>434</v>
      </c>
      <c r="Q165" s="14" t="s">
        <v>432</v>
      </c>
      <c r="R165" s="14">
        <v>2</v>
      </c>
      <c r="S165" s="14">
        <v>715</v>
      </c>
      <c r="T165" s="14">
        <v>595</v>
      </c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1:29" x14ac:dyDescent="0.3">
      <c r="A166" s="14"/>
      <c r="B166" s="25" t="s">
        <v>171</v>
      </c>
      <c r="C166" s="54"/>
      <c r="D166" s="16"/>
      <c r="E166" s="16"/>
      <c r="F166" s="31"/>
      <c r="G166" s="16"/>
      <c r="H166" s="19"/>
      <c r="I166" s="16"/>
      <c r="J166" s="20"/>
      <c r="K166" s="16"/>
      <c r="L166" s="21"/>
      <c r="M166" s="22"/>
      <c r="N166" s="22"/>
      <c r="O166" s="22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1:29" x14ac:dyDescent="0.3">
      <c r="A167" s="14" t="s">
        <v>543</v>
      </c>
      <c r="B167" s="15" t="s">
        <v>544</v>
      </c>
      <c r="C167" s="54">
        <v>32</v>
      </c>
      <c r="D167" s="16">
        <f t="shared" ref="D167:D168" si="29">PRODUCT(C167,$D$1)</f>
        <v>73.599999999999994</v>
      </c>
      <c r="E167" s="16"/>
      <c r="F167" s="31"/>
      <c r="G167" s="16"/>
      <c r="H167" s="19"/>
      <c r="I167" s="16"/>
      <c r="J167" s="20"/>
      <c r="K167" s="16"/>
      <c r="L167" s="21"/>
      <c r="M167" s="22">
        <v>300</v>
      </c>
      <c r="N167" s="22">
        <v>720</v>
      </c>
      <c r="O167" s="22"/>
      <c r="P167" s="14" t="s">
        <v>434</v>
      </c>
      <c r="Q167" s="14" t="s">
        <v>432</v>
      </c>
      <c r="R167" s="14">
        <v>1</v>
      </c>
      <c r="S167" s="14">
        <v>715</v>
      </c>
      <c r="T167" s="14">
        <v>345</v>
      </c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1:29" x14ac:dyDescent="0.3">
      <c r="A168" s="14" t="s">
        <v>172</v>
      </c>
      <c r="B168" s="15" t="s">
        <v>173</v>
      </c>
      <c r="C168" s="54">
        <v>35</v>
      </c>
      <c r="D168" s="16">
        <f t="shared" si="29"/>
        <v>80.5</v>
      </c>
      <c r="E168" s="16"/>
      <c r="F168" s="31"/>
      <c r="G168" s="16"/>
      <c r="H168" s="19"/>
      <c r="I168" s="16"/>
      <c r="J168" s="20"/>
      <c r="K168" s="16"/>
      <c r="L168" s="21"/>
      <c r="M168" s="22">
        <v>500</v>
      </c>
      <c r="N168" s="22">
        <v>720</v>
      </c>
      <c r="O168" s="22"/>
      <c r="P168" s="14" t="s">
        <v>434</v>
      </c>
      <c r="Q168" s="14" t="s">
        <v>432</v>
      </c>
      <c r="R168" s="14">
        <v>1</v>
      </c>
      <c r="S168" s="14">
        <v>715</v>
      </c>
      <c r="T168" s="14">
        <v>445</v>
      </c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1:29" x14ac:dyDescent="0.3">
      <c r="A169" s="14"/>
      <c r="B169" s="15"/>
      <c r="C169" s="54"/>
      <c r="D169" s="16"/>
      <c r="E169" s="16"/>
      <c r="F169" s="31"/>
      <c r="G169" s="16"/>
      <c r="H169" s="19"/>
      <c r="I169" s="16"/>
      <c r="J169" s="20"/>
      <c r="K169" s="16"/>
      <c r="L169" s="21"/>
      <c r="M169" s="22"/>
      <c r="N169" s="22"/>
      <c r="O169" s="22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1:29" x14ac:dyDescent="0.3">
      <c r="A170" s="14" t="s">
        <v>560</v>
      </c>
      <c r="B170" s="15" t="s">
        <v>561</v>
      </c>
      <c r="C170" s="54">
        <v>35.200000000000003</v>
      </c>
      <c r="D170" s="16">
        <f t="shared" ref="D170:D172" si="30">PRODUCT(C170,$D$1)</f>
        <v>80.959999999999994</v>
      </c>
      <c r="E170" s="16"/>
      <c r="F170" s="31"/>
      <c r="G170" s="16"/>
      <c r="H170" s="19"/>
      <c r="I170" s="16"/>
      <c r="J170" s="20"/>
      <c r="K170" s="16"/>
      <c r="L170" s="21"/>
      <c r="M170" s="22">
        <v>800</v>
      </c>
      <c r="N170" s="22">
        <v>720</v>
      </c>
      <c r="O170" s="22">
        <v>330</v>
      </c>
      <c r="P170" s="14" t="s">
        <v>434</v>
      </c>
      <c r="Q170" s="14" t="s">
        <v>432</v>
      </c>
      <c r="R170" s="14">
        <v>2</v>
      </c>
      <c r="S170" s="14">
        <v>355</v>
      </c>
      <c r="T170" s="14">
        <v>795</v>
      </c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1:29" x14ac:dyDescent="0.3">
      <c r="A171" s="14" t="s">
        <v>556</v>
      </c>
      <c r="B171" s="15" t="s">
        <v>558</v>
      </c>
      <c r="C171" s="54">
        <v>36.200000000000003</v>
      </c>
      <c r="D171" s="16">
        <f t="shared" si="30"/>
        <v>83.26</v>
      </c>
      <c r="E171" s="16"/>
      <c r="F171" s="31"/>
      <c r="G171" s="16"/>
      <c r="H171" s="19"/>
      <c r="I171" s="16"/>
      <c r="J171" s="20"/>
      <c r="K171" s="16"/>
      <c r="L171" s="21"/>
      <c r="M171" s="22">
        <v>900</v>
      </c>
      <c r="N171" s="22">
        <v>720</v>
      </c>
      <c r="O171" s="22">
        <v>330</v>
      </c>
      <c r="P171" s="14" t="s">
        <v>434</v>
      </c>
      <c r="Q171" s="14" t="s">
        <v>432</v>
      </c>
      <c r="R171" s="14">
        <v>2</v>
      </c>
      <c r="S171" s="14">
        <v>355</v>
      </c>
      <c r="T171" s="14">
        <v>895</v>
      </c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1:29" x14ac:dyDescent="0.3">
      <c r="A172" s="14" t="s">
        <v>557</v>
      </c>
      <c r="B172" s="15" t="s">
        <v>559</v>
      </c>
      <c r="C172" s="54">
        <v>37.4</v>
      </c>
      <c r="D172" s="16">
        <f t="shared" si="30"/>
        <v>86.02</v>
      </c>
      <c r="E172" s="16"/>
      <c r="F172" s="31"/>
      <c r="G172" s="16"/>
      <c r="H172" s="19"/>
      <c r="I172" s="16"/>
      <c r="J172" s="20"/>
      <c r="K172" s="16"/>
      <c r="L172" s="21"/>
      <c r="M172" s="22">
        <v>1000</v>
      </c>
      <c r="N172" s="22">
        <v>720</v>
      </c>
      <c r="O172" s="22">
        <v>330</v>
      </c>
      <c r="P172" s="14" t="s">
        <v>434</v>
      </c>
      <c r="Q172" s="14" t="s">
        <v>432</v>
      </c>
      <c r="R172" s="14">
        <v>2</v>
      </c>
      <c r="S172" s="14">
        <v>355</v>
      </c>
      <c r="T172" s="14">
        <v>995</v>
      </c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1:29" x14ac:dyDescent="0.3">
      <c r="A173" s="14"/>
      <c r="B173" s="15"/>
      <c r="C173" s="54"/>
      <c r="D173" s="16"/>
      <c r="E173" s="16"/>
      <c r="F173" s="31"/>
      <c r="G173" s="16"/>
      <c r="H173" s="19"/>
      <c r="I173" s="16"/>
      <c r="J173" s="20"/>
      <c r="K173" s="16"/>
      <c r="L173" s="21"/>
      <c r="M173" s="22"/>
      <c r="N173" s="22"/>
      <c r="O173" s="22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1:29" x14ac:dyDescent="0.3">
      <c r="A174" s="14" t="s">
        <v>174</v>
      </c>
      <c r="B174" s="15" t="s">
        <v>175</v>
      </c>
      <c r="C174" s="54">
        <v>29.7</v>
      </c>
      <c r="D174" s="16">
        <f t="shared" ref="D174:D182" si="31">PRODUCT(C174,$D$1)</f>
        <v>68.309999999999988</v>
      </c>
      <c r="E174" s="16">
        <v>31.53</v>
      </c>
      <c r="F174" s="31"/>
      <c r="G174" s="16"/>
      <c r="H174" s="19"/>
      <c r="I174" s="16"/>
      <c r="J174" s="20"/>
      <c r="K174" s="16"/>
      <c r="L174" s="21"/>
      <c r="M174" s="22">
        <v>300</v>
      </c>
      <c r="N174" s="22">
        <v>900</v>
      </c>
      <c r="O174" s="22">
        <v>330</v>
      </c>
      <c r="P174" s="14" t="s">
        <v>434</v>
      </c>
      <c r="Q174" s="14" t="s">
        <v>433</v>
      </c>
      <c r="R174" s="14">
        <v>1</v>
      </c>
      <c r="S174" s="14">
        <v>895</v>
      </c>
      <c r="T174" s="14">
        <v>295</v>
      </c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1:29" x14ac:dyDescent="0.3">
      <c r="A175" s="14" t="s">
        <v>176</v>
      </c>
      <c r="B175" s="15" t="s">
        <v>177</v>
      </c>
      <c r="C175" s="54">
        <v>30.8</v>
      </c>
      <c r="D175" s="16">
        <f t="shared" si="31"/>
        <v>70.839999999999989</v>
      </c>
      <c r="E175" s="16">
        <v>37.43</v>
      </c>
      <c r="F175" s="31"/>
      <c r="G175" s="16"/>
      <c r="H175" s="19"/>
      <c r="I175" s="16"/>
      <c r="J175" s="20"/>
      <c r="K175" s="16"/>
      <c r="L175" s="21"/>
      <c r="M175" s="22">
        <v>400</v>
      </c>
      <c r="N175" s="22">
        <v>900</v>
      </c>
      <c r="O175" s="22">
        <v>330</v>
      </c>
      <c r="P175" s="14" t="s">
        <v>434</v>
      </c>
      <c r="Q175" s="14" t="s">
        <v>433</v>
      </c>
      <c r="R175" s="14">
        <v>1</v>
      </c>
      <c r="S175" s="14">
        <v>895</v>
      </c>
      <c r="T175" s="14">
        <v>395</v>
      </c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1:29" x14ac:dyDescent="0.3">
      <c r="A176" s="14" t="s">
        <v>178</v>
      </c>
      <c r="B176" s="15" t="s">
        <v>179</v>
      </c>
      <c r="C176" s="54">
        <v>31.9</v>
      </c>
      <c r="D176" s="16">
        <f t="shared" si="31"/>
        <v>73.36999999999999</v>
      </c>
      <c r="E176" s="16">
        <v>40.54</v>
      </c>
      <c r="F176" s="31"/>
      <c r="G176" s="16"/>
      <c r="H176" s="19"/>
      <c r="I176" s="16"/>
      <c r="J176" s="20"/>
      <c r="K176" s="16"/>
      <c r="L176" s="21"/>
      <c r="M176" s="22">
        <v>450</v>
      </c>
      <c r="N176" s="22">
        <v>900</v>
      </c>
      <c r="O176" s="22">
        <v>330</v>
      </c>
      <c r="P176" s="14" t="s">
        <v>434</v>
      </c>
      <c r="Q176" s="14" t="s">
        <v>433</v>
      </c>
      <c r="R176" s="14">
        <v>1</v>
      </c>
      <c r="S176" s="14">
        <v>895</v>
      </c>
      <c r="T176" s="14">
        <v>445</v>
      </c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1:29" x14ac:dyDescent="0.3">
      <c r="A177" s="14" t="s">
        <v>180</v>
      </c>
      <c r="B177" s="15" t="s">
        <v>181</v>
      </c>
      <c r="C177" s="54">
        <v>33</v>
      </c>
      <c r="D177" s="16">
        <f t="shared" si="31"/>
        <v>75.899999999999991</v>
      </c>
      <c r="E177" s="16">
        <v>43.27</v>
      </c>
      <c r="F177" s="31"/>
      <c r="G177" s="16"/>
      <c r="H177" s="19"/>
      <c r="I177" s="16"/>
      <c r="J177" s="20"/>
      <c r="K177" s="16"/>
      <c r="L177" s="21"/>
      <c r="M177" s="22">
        <v>500</v>
      </c>
      <c r="N177" s="22">
        <v>900</v>
      </c>
      <c r="O177" s="22">
        <v>330</v>
      </c>
      <c r="P177" s="14" t="s">
        <v>434</v>
      </c>
      <c r="Q177" s="14" t="s">
        <v>433</v>
      </c>
      <c r="R177" s="14">
        <v>1</v>
      </c>
      <c r="S177" s="14">
        <v>895</v>
      </c>
      <c r="T177" s="14">
        <v>495</v>
      </c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1:29" x14ac:dyDescent="0.3">
      <c r="A178" s="14" t="s">
        <v>182</v>
      </c>
      <c r="B178" s="15" t="s">
        <v>183</v>
      </c>
      <c r="C178" s="54">
        <v>34</v>
      </c>
      <c r="D178" s="16">
        <f t="shared" si="31"/>
        <v>78.199999999999989</v>
      </c>
      <c r="E178" s="16">
        <v>48.78</v>
      </c>
      <c r="F178" s="31"/>
      <c r="G178" s="16"/>
      <c r="H178" s="19"/>
      <c r="I178" s="16"/>
      <c r="J178" s="20"/>
      <c r="K178" s="16"/>
      <c r="L178" s="21"/>
      <c r="M178" s="22">
        <v>600</v>
      </c>
      <c r="N178" s="22">
        <v>900</v>
      </c>
      <c r="O178" s="22">
        <v>330</v>
      </c>
      <c r="P178" s="14" t="s">
        <v>434</v>
      </c>
      <c r="Q178" s="14" t="s">
        <v>433</v>
      </c>
      <c r="R178" s="14">
        <v>1</v>
      </c>
      <c r="S178" s="14">
        <v>895</v>
      </c>
      <c r="T178" s="14">
        <v>595</v>
      </c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1:29" x14ac:dyDescent="0.3">
      <c r="A179" s="14" t="s">
        <v>184</v>
      </c>
      <c r="B179" s="15" t="s">
        <v>185</v>
      </c>
      <c r="C179" s="54">
        <v>35</v>
      </c>
      <c r="D179" s="16">
        <f t="shared" si="31"/>
        <v>80.5</v>
      </c>
      <c r="E179" s="16">
        <v>69.040000000000006</v>
      </c>
      <c r="F179" s="31"/>
      <c r="G179" s="16"/>
      <c r="H179" s="19"/>
      <c r="I179" s="16"/>
      <c r="J179" s="20"/>
      <c r="K179" s="16"/>
      <c r="L179" s="21"/>
      <c r="M179" s="22">
        <v>800</v>
      </c>
      <c r="N179" s="22">
        <v>900</v>
      </c>
      <c r="O179" s="22">
        <v>330</v>
      </c>
      <c r="P179" s="14" t="s">
        <v>434</v>
      </c>
      <c r="Q179" s="14" t="s">
        <v>433</v>
      </c>
      <c r="R179" s="14">
        <v>2</v>
      </c>
      <c r="S179" s="14">
        <v>895</v>
      </c>
      <c r="T179" s="14">
        <v>395</v>
      </c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1:29" x14ac:dyDescent="0.3">
      <c r="A180" s="14" t="s">
        <v>554</v>
      </c>
      <c r="B180" s="15" t="s">
        <v>555</v>
      </c>
      <c r="C180" s="54">
        <v>36</v>
      </c>
      <c r="D180" s="16">
        <f t="shared" si="31"/>
        <v>82.8</v>
      </c>
      <c r="E180" s="16">
        <v>86.32</v>
      </c>
      <c r="F180" s="31"/>
      <c r="G180" s="16"/>
      <c r="H180" s="19"/>
      <c r="I180" s="16"/>
      <c r="J180" s="20"/>
      <c r="K180" s="16"/>
      <c r="L180" s="21"/>
      <c r="M180" s="22">
        <v>900</v>
      </c>
      <c r="N180" s="22">
        <v>900</v>
      </c>
      <c r="O180" s="22">
        <v>330</v>
      </c>
      <c r="P180" s="14" t="s">
        <v>434</v>
      </c>
      <c r="Q180" s="14" t="s">
        <v>433</v>
      </c>
      <c r="R180" s="14">
        <v>2</v>
      </c>
      <c r="S180" s="14">
        <v>895</v>
      </c>
      <c r="T180" s="14">
        <v>445</v>
      </c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1:29" x14ac:dyDescent="0.3">
      <c r="A181" s="14" t="s">
        <v>186</v>
      </c>
      <c r="B181" s="15" t="s">
        <v>187</v>
      </c>
      <c r="C181" s="54">
        <v>41.8</v>
      </c>
      <c r="D181" s="16">
        <f t="shared" si="31"/>
        <v>96.139999999999986</v>
      </c>
      <c r="E181" s="16">
        <v>86.32</v>
      </c>
      <c r="F181" s="31"/>
      <c r="G181" s="16"/>
      <c r="H181" s="19"/>
      <c r="I181" s="16"/>
      <c r="J181" s="20"/>
      <c r="K181" s="16"/>
      <c r="L181" s="21"/>
      <c r="M181" s="22">
        <v>1000</v>
      </c>
      <c r="N181" s="22">
        <v>900</v>
      </c>
      <c r="O181" s="22">
        <v>330</v>
      </c>
      <c r="P181" s="14" t="s">
        <v>434</v>
      </c>
      <c r="Q181" s="14" t="s">
        <v>433</v>
      </c>
      <c r="R181" s="14">
        <v>2</v>
      </c>
      <c r="S181" s="14">
        <v>895</v>
      </c>
      <c r="T181" s="14">
        <v>495</v>
      </c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1:29" x14ac:dyDescent="0.3">
      <c r="A182" s="14" t="s">
        <v>188</v>
      </c>
      <c r="B182" s="15" t="s">
        <v>189</v>
      </c>
      <c r="C182" s="54">
        <v>44</v>
      </c>
      <c r="D182" s="16">
        <f t="shared" si="31"/>
        <v>101.19999999999999</v>
      </c>
      <c r="E182" s="16"/>
      <c r="F182" s="31"/>
      <c r="G182" s="16"/>
      <c r="H182" s="19"/>
      <c r="I182" s="16"/>
      <c r="J182" s="20"/>
      <c r="K182" s="16"/>
      <c r="L182" s="21"/>
      <c r="M182" s="22">
        <v>1200</v>
      </c>
      <c r="N182" s="22">
        <v>900</v>
      </c>
      <c r="O182" s="22">
        <v>330</v>
      </c>
      <c r="P182" s="14" t="s">
        <v>434</v>
      </c>
      <c r="Q182" s="14" t="s">
        <v>433</v>
      </c>
      <c r="R182" s="14">
        <v>2</v>
      </c>
      <c r="S182" s="14">
        <v>895</v>
      </c>
      <c r="T182" s="14">
        <v>595</v>
      </c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1:29" x14ac:dyDescent="0.3">
      <c r="A183" s="14"/>
      <c r="B183" s="25" t="s">
        <v>190</v>
      </c>
      <c r="C183" s="54"/>
      <c r="D183" s="16"/>
      <c r="E183" s="16"/>
      <c r="F183" s="31"/>
      <c r="G183" s="16"/>
      <c r="H183" s="19"/>
      <c r="I183" s="16"/>
      <c r="J183" s="20"/>
      <c r="K183" s="16"/>
      <c r="L183" s="21"/>
      <c r="M183" s="22"/>
      <c r="N183" s="22"/>
      <c r="O183" s="22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1:29" x14ac:dyDescent="0.3">
      <c r="A184" s="14"/>
      <c r="C184" s="54"/>
      <c r="D184" s="16"/>
      <c r="E184" s="16"/>
      <c r="F184" s="31"/>
      <c r="G184" s="16"/>
      <c r="H184" s="19"/>
      <c r="I184" s="16"/>
      <c r="J184" s="20"/>
      <c r="K184" s="16"/>
      <c r="L184" s="21"/>
      <c r="M184" s="22"/>
      <c r="N184" s="22"/>
      <c r="O184" s="22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1:29" x14ac:dyDescent="0.3">
      <c r="A185" s="14"/>
      <c r="B185" s="15"/>
      <c r="C185" s="54"/>
      <c r="D185" s="16"/>
      <c r="E185" s="16"/>
      <c r="F185" s="31"/>
      <c r="G185" s="16"/>
      <c r="H185" s="19"/>
      <c r="I185" s="16"/>
      <c r="J185" s="20"/>
      <c r="K185" s="16"/>
      <c r="L185" s="21"/>
      <c r="M185" s="22"/>
      <c r="N185" s="22"/>
      <c r="O185" s="22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1:29" x14ac:dyDescent="0.3">
      <c r="A186" s="14" t="s">
        <v>191</v>
      </c>
      <c r="B186" s="36" t="s">
        <v>436</v>
      </c>
      <c r="C186" s="54">
        <v>34.1</v>
      </c>
      <c r="D186" s="16">
        <f t="shared" ref="D186:D189" si="32">PRODUCT(C186,$D$1)</f>
        <v>78.429999999999993</v>
      </c>
      <c r="E186" s="16"/>
      <c r="F186" s="31"/>
      <c r="G186" s="16"/>
      <c r="H186" s="19"/>
      <c r="I186" s="16"/>
      <c r="J186" s="20"/>
      <c r="K186" s="16"/>
      <c r="L186" s="21"/>
      <c r="M186" s="22">
        <v>600</v>
      </c>
      <c r="N186" s="22">
        <v>720</v>
      </c>
      <c r="O186" s="22">
        <v>330</v>
      </c>
      <c r="P186" s="14" t="s">
        <v>434</v>
      </c>
      <c r="Q186" s="14" t="s">
        <v>425</v>
      </c>
      <c r="R186" s="14">
        <v>1</v>
      </c>
      <c r="S186" s="14">
        <v>715</v>
      </c>
      <c r="T186" s="14">
        <v>295</v>
      </c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1:29" x14ac:dyDescent="0.3">
      <c r="A187" s="14" t="s">
        <v>192</v>
      </c>
      <c r="B187" s="36" t="s">
        <v>437</v>
      </c>
      <c r="C187" s="54">
        <v>36.299999999999997</v>
      </c>
      <c r="D187" s="16">
        <f t="shared" si="32"/>
        <v>83.489999999999981</v>
      </c>
      <c r="E187" s="16"/>
      <c r="F187" s="31"/>
      <c r="G187" s="16"/>
      <c r="H187" s="19"/>
      <c r="I187" s="16"/>
      <c r="J187" s="20"/>
      <c r="K187" s="16"/>
      <c r="L187" s="21"/>
      <c r="M187" s="22">
        <v>700</v>
      </c>
      <c r="N187" s="22">
        <v>720</v>
      </c>
      <c r="O187" s="22">
        <v>330</v>
      </c>
      <c r="P187" s="14" t="s">
        <v>434</v>
      </c>
      <c r="Q187" s="14" t="s">
        <v>425</v>
      </c>
      <c r="R187" s="14">
        <v>1</v>
      </c>
      <c r="S187" s="14">
        <v>715</v>
      </c>
      <c r="T187" s="14">
        <v>395</v>
      </c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1:29" x14ac:dyDescent="0.3">
      <c r="A188" s="14" t="s">
        <v>193</v>
      </c>
      <c r="B188" s="36" t="s">
        <v>438</v>
      </c>
      <c r="C188" s="54">
        <v>37.4</v>
      </c>
      <c r="D188" s="16">
        <f t="shared" si="32"/>
        <v>86.02</v>
      </c>
      <c r="E188" s="16"/>
      <c r="F188" s="31"/>
      <c r="G188" s="16"/>
      <c r="H188" s="19"/>
      <c r="I188" s="16"/>
      <c r="J188" s="20"/>
      <c r="K188" s="16"/>
      <c r="L188" s="21"/>
      <c r="M188" s="22">
        <v>800</v>
      </c>
      <c r="N188" s="22">
        <v>720</v>
      </c>
      <c r="O188" s="22">
        <v>330</v>
      </c>
      <c r="P188" s="14" t="s">
        <v>434</v>
      </c>
      <c r="Q188" s="14" t="s">
        <v>425</v>
      </c>
      <c r="R188" s="14">
        <v>1</v>
      </c>
      <c r="S188" s="14">
        <v>715</v>
      </c>
      <c r="T188" s="14">
        <v>495</v>
      </c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1:29" x14ac:dyDescent="0.3">
      <c r="A189" s="14" t="s">
        <v>194</v>
      </c>
      <c r="B189" s="36" t="s">
        <v>439</v>
      </c>
      <c r="C189" s="54">
        <v>38.5</v>
      </c>
      <c r="D189" s="16">
        <f t="shared" si="32"/>
        <v>88.55</v>
      </c>
      <c r="E189" s="16"/>
      <c r="F189" s="31"/>
      <c r="G189" s="16"/>
      <c r="H189" s="19"/>
      <c r="I189" s="16"/>
      <c r="J189" s="20"/>
      <c r="K189" s="16"/>
      <c r="L189" s="21"/>
      <c r="M189" s="22">
        <v>900</v>
      </c>
      <c r="N189" s="22">
        <v>720</v>
      </c>
      <c r="O189" s="22">
        <v>330</v>
      </c>
      <c r="P189" s="14" t="s">
        <v>434</v>
      </c>
      <c r="Q189" s="14" t="s">
        <v>425</v>
      </c>
      <c r="R189" s="14">
        <v>1</v>
      </c>
      <c r="S189" s="14">
        <v>715</v>
      </c>
      <c r="T189" s="14">
        <v>595</v>
      </c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1:29" x14ac:dyDescent="0.3">
      <c r="A190" s="14"/>
      <c r="B190" s="25" t="s">
        <v>195</v>
      </c>
      <c r="C190" s="76"/>
      <c r="D190" s="32"/>
      <c r="E190" s="32"/>
      <c r="F190" s="77"/>
      <c r="G190" s="32"/>
      <c r="H190" s="89"/>
      <c r="I190" s="32"/>
      <c r="J190" s="34"/>
      <c r="K190" s="32"/>
      <c r="L190" s="35"/>
      <c r="M190" s="36"/>
      <c r="N190" s="36"/>
      <c r="O190" s="36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1:29" x14ac:dyDescent="0.3">
      <c r="A191" s="14"/>
      <c r="B191" s="15"/>
      <c r="C191" s="76"/>
      <c r="D191" s="32"/>
      <c r="E191" s="32"/>
      <c r="F191" s="77"/>
      <c r="G191" s="32"/>
      <c r="H191" s="89"/>
      <c r="I191" s="32"/>
      <c r="J191" s="34"/>
      <c r="K191" s="32"/>
      <c r="L191" s="35"/>
      <c r="M191" s="36"/>
      <c r="N191" s="36"/>
      <c r="O191" s="36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1:29" x14ac:dyDescent="0.3">
      <c r="A192" s="14" t="s">
        <v>196</v>
      </c>
      <c r="B192" s="15" t="s">
        <v>510</v>
      </c>
      <c r="C192" s="54">
        <v>45.1</v>
      </c>
      <c r="D192" s="16">
        <f t="shared" ref="D192:D193" si="33">PRODUCT(C192,$D$1)</f>
        <v>103.72999999999999</v>
      </c>
      <c r="E192" s="16"/>
      <c r="F192" s="31"/>
      <c r="G192" s="16"/>
      <c r="H192" s="19"/>
      <c r="I192" s="16"/>
      <c r="J192" s="20"/>
      <c r="K192" s="16"/>
      <c r="L192" s="21"/>
      <c r="M192" s="22">
        <v>600</v>
      </c>
      <c r="N192" s="22">
        <v>720</v>
      </c>
      <c r="O192" s="22">
        <v>600</v>
      </c>
      <c r="P192" s="14" t="s">
        <v>434</v>
      </c>
      <c r="Q192" s="14" t="s">
        <v>425</v>
      </c>
      <c r="R192" s="14">
        <v>1</v>
      </c>
      <c r="S192" s="14">
        <v>715</v>
      </c>
      <c r="T192" s="14">
        <v>395</v>
      </c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1:29" x14ac:dyDescent="0.3">
      <c r="A193" s="14" t="s">
        <v>197</v>
      </c>
      <c r="B193" s="15" t="s">
        <v>511</v>
      </c>
      <c r="C193" s="54">
        <v>47.3</v>
      </c>
      <c r="D193" s="16">
        <f t="shared" si="33"/>
        <v>108.78999999999999</v>
      </c>
      <c r="E193" s="16"/>
      <c r="F193" s="31"/>
      <c r="G193" s="16"/>
      <c r="H193" s="19"/>
      <c r="I193" s="16"/>
      <c r="J193" s="20"/>
      <c r="K193" s="16"/>
      <c r="L193" s="21"/>
      <c r="M193" s="22">
        <v>600</v>
      </c>
      <c r="N193" s="22">
        <v>720</v>
      </c>
      <c r="O193" s="22">
        <v>600</v>
      </c>
      <c r="P193" s="14" t="s">
        <v>434</v>
      </c>
      <c r="Q193" s="14" t="s">
        <v>425</v>
      </c>
      <c r="R193" s="14">
        <v>1</v>
      </c>
      <c r="S193" s="14">
        <v>715</v>
      </c>
      <c r="T193" s="14">
        <v>265</v>
      </c>
      <c r="U193" s="14">
        <v>1</v>
      </c>
      <c r="V193" s="14">
        <v>715</v>
      </c>
      <c r="W193" s="14">
        <v>245</v>
      </c>
      <c r="X193" s="14"/>
      <c r="Y193" s="14"/>
      <c r="Z193" s="14"/>
      <c r="AA193" s="14"/>
      <c r="AB193" s="14"/>
      <c r="AC193" s="14"/>
    </row>
    <row r="194" spans="1:29" x14ac:dyDescent="0.3">
      <c r="A194" s="14"/>
      <c r="B194" s="25" t="s">
        <v>154</v>
      </c>
      <c r="C194" s="54"/>
      <c r="D194" s="16"/>
      <c r="E194" s="16"/>
      <c r="F194" s="31"/>
      <c r="G194" s="16"/>
      <c r="H194" s="19"/>
      <c r="I194" s="16"/>
      <c r="J194" s="20"/>
      <c r="K194" s="16"/>
      <c r="L194" s="21"/>
      <c r="M194" s="22"/>
      <c r="N194" s="22"/>
      <c r="O194" s="22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1:29" x14ac:dyDescent="0.3">
      <c r="A195" s="14"/>
      <c r="B195" s="15"/>
      <c r="C195" s="54"/>
      <c r="D195" s="16"/>
      <c r="E195" s="16"/>
      <c r="F195" s="31"/>
      <c r="G195" s="16"/>
      <c r="H195" s="19"/>
      <c r="I195" s="16"/>
      <c r="J195" s="20"/>
      <c r="K195" s="16"/>
      <c r="L195" s="21"/>
      <c r="M195" s="22"/>
      <c r="N195" s="22"/>
      <c r="O195" s="22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1:29" x14ac:dyDescent="0.3">
      <c r="A196" s="14" t="s">
        <v>198</v>
      </c>
      <c r="B196" s="15" t="s">
        <v>199</v>
      </c>
      <c r="C196" s="54">
        <v>4.4000000000000004</v>
      </c>
      <c r="D196" s="16">
        <f t="shared" ref="D196:D199" si="34">PRODUCT(C196,$D$1)</f>
        <v>10.119999999999999</v>
      </c>
      <c r="E196" s="16"/>
      <c r="F196" s="31"/>
      <c r="G196" s="16"/>
      <c r="H196" s="19"/>
      <c r="I196" s="16"/>
      <c r="J196" s="20"/>
      <c r="K196" s="16"/>
      <c r="L196" s="21"/>
      <c r="M196" s="22"/>
      <c r="N196" s="22"/>
      <c r="O196" s="22"/>
      <c r="P196" s="14" t="s">
        <v>482</v>
      </c>
      <c r="Q196" s="14" t="s">
        <v>483</v>
      </c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1:29" x14ac:dyDescent="0.3">
      <c r="A197" s="14" t="s">
        <v>200</v>
      </c>
      <c r="B197" s="15" t="s">
        <v>201</v>
      </c>
      <c r="C197" s="54">
        <v>7.7</v>
      </c>
      <c r="D197" s="16">
        <f t="shared" si="34"/>
        <v>17.709999999999997</v>
      </c>
      <c r="E197" s="16"/>
      <c r="F197" s="31"/>
      <c r="G197" s="16"/>
      <c r="H197" s="19"/>
      <c r="I197" s="16"/>
      <c r="J197" s="20"/>
      <c r="K197" s="16"/>
      <c r="L197" s="21"/>
      <c r="M197" s="22"/>
      <c r="N197" s="22"/>
      <c r="O197" s="22"/>
      <c r="P197" s="14" t="s">
        <v>482</v>
      </c>
      <c r="Q197" s="14" t="s">
        <v>483</v>
      </c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1:29" x14ac:dyDescent="0.3">
      <c r="A198" s="14" t="s">
        <v>202</v>
      </c>
      <c r="B198" s="15" t="s">
        <v>203</v>
      </c>
      <c r="C198" s="54">
        <v>4.4000000000000004</v>
      </c>
      <c r="D198" s="16">
        <f t="shared" si="34"/>
        <v>10.119999999999999</v>
      </c>
      <c r="E198" s="16"/>
      <c r="F198" s="31"/>
      <c r="G198" s="16"/>
      <c r="H198" s="19"/>
      <c r="I198" s="16"/>
      <c r="J198" s="20"/>
      <c r="K198" s="16"/>
      <c r="L198" s="21"/>
      <c r="M198" s="22"/>
      <c r="N198" s="22"/>
      <c r="O198" s="22"/>
      <c r="P198" s="14" t="s">
        <v>482</v>
      </c>
      <c r="Q198" s="14" t="s">
        <v>483</v>
      </c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1:29" x14ac:dyDescent="0.3">
      <c r="A199" s="14" t="s">
        <v>204</v>
      </c>
      <c r="B199" s="15" t="s">
        <v>205</v>
      </c>
      <c r="C199" s="54">
        <v>5.5</v>
      </c>
      <c r="D199" s="16">
        <f t="shared" si="34"/>
        <v>12.649999999999999</v>
      </c>
      <c r="E199" s="16"/>
      <c r="F199" s="31"/>
      <c r="G199" s="16"/>
      <c r="H199" s="19"/>
      <c r="I199" s="16"/>
      <c r="J199" s="20"/>
      <c r="K199" s="16"/>
      <c r="L199" s="21"/>
      <c r="M199" s="22"/>
      <c r="N199" s="22"/>
      <c r="O199" s="22"/>
      <c r="P199" s="14" t="s">
        <v>482</v>
      </c>
      <c r="Q199" s="14" t="s">
        <v>483</v>
      </c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1:29" x14ac:dyDescent="0.3">
      <c r="A200" s="14"/>
      <c r="B200" s="15"/>
      <c r="C200" s="54"/>
      <c r="D200" s="16"/>
      <c r="E200" s="16"/>
      <c r="F200" s="31"/>
      <c r="G200" s="16"/>
      <c r="H200" s="19"/>
      <c r="I200" s="16"/>
      <c r="J200" s="20"/>
      <c r="K200" s="16"/>
      <c r="L200" s="21"/>
      <c r="M200" s="22"/>
      <c r="N200" s="22"/>
      <c r="O200" s="22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1:29" x14ac:dyDescent="0.3">
      <c r="A201" s="14"/>
      <c r="B201" s="15"/>
      <c r="C201" s="54"/>
      <c r="D201" s="16"/>
      <c r="E201" s="16"/>
      <c r="F201" s="31"/>
      <c r="G201" s="16"/>
      <c r="H201" s="19"/>
      <c r="I201" s="16"/>
      <c r="J201" s="20"/>
      <c r="K201" s="16"/>
      <c r="L201" s="21"/>
      <c r="M201" s="22"/>
      <c r="N201" s="22"/>
      <c r="O201" s="22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spans="1:29" x14ac:dyDescent="0.3">
      <c r="A202" s="14" t="s">
        <v>206</v>
      </c>
      <c r="B202" s="15" t="s">
        <v>207</v>
      </c>
      <c r="C202" s="54">
        <v>11</v>
      </c>
      <c r="D202" s="16">
        <f t="shared" ref="D202:D219" si="35">PRODUCT(C202,$D$1)</f>
        <v>25.299999999999997</v>
      </c>
      <c r="E202" s="16"/>
      <c r="F202" s="31"/>
      <c r="G202" s="16"/>
      <c r="H202" s="19"/>
      <c r="I202" s="16"/>
      <c r="J202" s="20"/>
      <c r="K202" s="16"/>
      <c r="L202" s="21"/>
      <c r="M202" s="22">
        <v>600</v>
      </c>
      <c r="N202" s="22">
        <v>900</v>
      </c>
      <c r="O202" s="22">
        <v>18</v>
      </c>
      <c r="P202" s="14" t="s">
        <v>456</v>
      </c>
      <c r="Q202" s="14" t="s">
        <v>444</v>
      </c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1:29" x14ac:dyDescent="0.3">
      <c r="A203" s="14" t="s">
        <v>208</v>
      </c>
      <c r="B203" s="15" t="s">
        <v>209</v>
      </c>
      <c r="C203" s="54">
        <v>25.3</v>
      </c>
      <c r="D203" s="16">
        <f t="shared" si="35"/>
        <v>58.19</v>
      </c>
      <c r="E203" s="16"/>
      <c r="F203" s="31"/>
      <c r="G203" s="16"/>
      <c r="H203" s="19"/>
      <c r="I203" s="16"/>
      <c r="J203" s="20"/>
      <c r="K203" s="16"/>
      <c r="L203" s="21"/>
      <c r="M203" s="22">
        <v>600</v>
      </c>
      <c r="N203" s="22">
        <v>2000</v>
      </c>
      <c r="O203" s="22">
        <v>18</v>
      </c>
      <c r="P203" s="14" t="s">
        <v>456</v>
      </c>
      <c r="Q203" s="14" t="s">
        <v>444</v>
      </c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1:29" x14ac:dyDescent="0.3">
      <c r="A204" s="14" t="s">
        <v>210</v>
      </c>
      <c r="B204" s="15" t="s">
        <v>211</v>
      </c>
      <c r="C204" s="54">
        <v>27.5</v>
      </c>
      <c r="D204" s="16">
        <f t="shared" si="35"/>
        <v>63.249999999999993</v>
      </c>
      <c r="E204" s="16"/>
      <c r="F204" s="31"/>
      <c r="G204" s="16"/>
      <c r="H204" s="19"/>
      <c r="I204" s="16"/>
      <c r="J204" s="20"/>
      <c r="K204" s="16"/>
      <c r="L204" s="21"/>
      <c r="M204" s="22">
        <v>600</v>
      </c>
      <c r="N204" s="22">
        <v>2150</v>
      </c>
      <c r="O204" s="22">
        <v>18</v>
      </c>
      <c r="P204" s="14" t="s">
        <v>456</v>
      </c>
      <c r="Q204" s="14" t="s">
        <v>444</v>
      </c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spans="1:29" x14ac:dyDescent="0.3">
      <c r="A205" s="14" t="s">
        <v>212</v>
      </c>
      <c r="B205" s="15" t="s">
        <v>213</v>
      </c>
      <c r="C205" s="54">
        <v>29.7</v>
      </c>
      <c r="D205" s="16">
        <f t="shared" si="35"/>
        <v>68.309999999999988</v>
      </c>
      <c r="E205" s="16"/>
      <c r="F205" s="31"/>
      <c r="G205" s="16"/>
      <c r="H205" s="19"/>
      <c r="I205" s="16"/>
      <c r="J205" s="20"/>
      <c r="K205" s="16"/>
      <c r="L205" s="21"/>
      <c r="M205" s="22">
        <v>600</v>
      </c>
      <c r="N205" s="22">
        <v>2300</v>
      </c>
      <c r="O205" s="22">
        <v>18</v>
      </c>
      <c r="P205" s="14" t="s">
        <v>456</v>
      </c>
      <c r="Q205" s="14" t="s">
        <v>444</v>
      </c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spans="1:29" x14ac:dyDescent="0.3">
      <c r="A206" s="14" t="s">
        <v>214</v>
      </c>
      <c r="B206" s="15" t="s">
        <v>215</v>
      </c>
      <c r="C206" s="54">
        <v>4.4000000000000004</v>
      </c>
      <c r="D206" s="16">
        <f t="shared" si="35"/>
        <v>10.119999999999999</v>
      </c>
      <c r="E206" s="16"/>
      <c r="F206" s="31"/>
      <c r="G206" s="16"/>
      <c r="H206" s="19"/>
      <c r="I206" s="16"/>
      <c r="J206" s="20"/>
      <c r="K206" s="16"/>
      <c r="L206" s="21"/>
      <c r="M206" s="22">
        <v>300</v>
      </c>
      <c r="N206" s="22">
        <v>575</v>
      </c>
      <c r="O206" s="22">
        <v>18</v>
      </c>
      <c r="P206" s="14" t="s">
        <v>456</v>
      </c>
      <c r="Q206" s="14" t="s">
        <v>444</v>
      </c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1:29" x14ac:dyDescent="0.3">
      <c r="A207" s="14" t="s">
        <v>216</v>
      </c>
      <c r="B207" s="15" t="s">
        <v>217</v>
      </c>
      <c r="C207" s="54">
        <v>5.5</v>
      </c>
      <c r="D207" s="16">
        <f t="shared" si="35"/>
        <v>12.649999999999999</v>
      </c>
      <c r="E207" s="16"/>
      <c r="F207" s="31"/>
      <c r="G207" s="16"/>
      <c r="H207" s="19"/>
      <c r="I207" s="16"/>
      <c r="J207" s="20"/>
      <c r="K207" s="16"/>
      <c r="L207" s="21"/>
      <c r="M207" s="22">
        <v>300</v>
      </c>
      <c r="N207" s="22">
        <v>720</v>
      </c>
      <c r="O207" s="22">
        <v>18</v>
      </c>
      <c r="P207" s="14" t="s">
        <v>456</v>
      </c>
      <c r="Q207" s="14" t="s">
        <v>444</v>
      </c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spans="1:29" x14ac:dyDescent="0.3">
      <c r="A208" s="14" t="s">
        <v>218</v>
      </c>
      <c r="B208" s="15" t="s">
        <v>219</v>
      </c>
      <c r="C208" s="54">
        <v>6.6</v>
      </c>
      <c r="D208" s="16">
        <f t="shared" si="35"/>
        <v>15.179999999999998</v>
      </c>
      <c r="E208" s="16"/>
      <c r="F208" s="31"/>
      <c r="G208" s="16"/>
      <c r="H208" s="19"/>
      <c r="I208" s="16"/>
      <c r="J208" s="20"/>
      <c r="K208" s="16"/>
      <c r="L208" s="21"/>
      <c r="M208" s="22">
        <v>300</v>
      </c>
      <c r="N208" s="22">
        <v>900</v>
      </c>
      <c r="O208" s="22">
        <v>18</v>
      </c>
      <c r="P208" s="14" t="s">
        <v>456</v>
      </c>
      <c r="Q208" s="14" t="s">
        <v>444</v>
      </c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spans="1:29" x14ac:dyDescent="0.3">
      <c r="A209" s="14" t="s">
        <v>220</v>
      </c>
      <c r="B209" s="15" t="s">
        <v>221</v>
      </c>
      <c r="C209" s="54">
        <v>8.6999999999999993</v>
      </c>
      <c r="D209" s="16">
        <f t="shared" si="35"/>
        <v>20.009999999999998</v>
      </c>
      <c r="E209" s="16"/>
      <c r="F209" s="31"/>
      <c r="G209" s="16"/>
      <c r="H209" s="19"/>
      <c r="I209" s="16"/>
      <c r="J209" s="20"/>
      <c r="K209" s="16"/>
      <c r="L209" s="21"/>
      <c r="M209" s="22">
        <v>350</v>
      </c>
      <c r="N209" s="22">
        <v>1250</v>
      </c>
      <c r="O209" s="22">
        <v>18</v>
      </c>
      <c r="P209" s="14" t="s">
        <v>456</v>
      </c>
      <c r="Q209" s="14" t="s">
        <v>444</v>
      </c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spans="1:29" x14ac:dyDescent="0.3">
      <c r="A210" s="14" t="s">
        <v>222</v>
      </c>
      <c r="B210" s="15" t="s">
        <v>223</v>
      </c>
      <c r="C210" s="54">
        <v>1.65</v>
      </c>
      <c r="D210" s="16">
        <f t="shared" si="35"/>
        <v>3.7949999999999995</v>
      </c>
      <c r="E210" s="16"/>
      <c r="F210" s="31"/>
      <c r="G210" s="16"/>
      <c r="H210" s="19"/>
      <c r="I210" s="16"/>
      <c r="J210" s="20"/>
      <c r="K210" s="16"/>
      <c r="L210" s="21"/>
      <c r="M210" s="22">
        <v>100</v>
      </c>
      <c r="N210" s="22">
        <v>575</v>
      </c>
      <c r="O210" s="22">
        <v>18</v>
      </c>
      <c r="P210" s="14" t="s">
        <v>456</v>
      </c>
      <c r="Q210" s="14" t="s">
        <v>445</v>
      </c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spans="1:29" x14ac:dyDescent="0.3">
      <c r="A211" s="14" t="s">
        <v>224</v>
      </c>
      <c r="B211" s="15" t="s">
        <v>225</v>
      </c>
      <c r="C211" s="54">
        <v>1.65</v>
      </c>
      <c r="D211" s="16">
        <f t="shared" si="35"/>
        <v>3.7949999999999995</v>
      </c>
      <c r="E211" s="16"/>
      <c r="F211" s="31"/>
      <c r="G211" s="16"/>
      <c r="H211" s="19"/>
      <c r="I211" s="16"/>
      <c r="J211" s="20"/>
      <c r="K211" s="16"/>
      <c r="L211" s="21"/>
      <c r="M211" s="22">
        <v>100</v>
      </c>
      <c r="N211" s="22">
        <v>720</v>
      </c>
      <c r="O211" s="22">
        <v>18</v>
      </c>
      <c r="P211" s="14" t="s">
        <v>456</v>
      </c>
      <c r="Q211" s="14" t="s">
        <v>445</v>
      </c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spans="1:29" x14ac:dyDescent="0.3">
      <c r="A212" s="14" t="s">
        <v>226</v>
      </c>
      <c r="B212" s="15" t="s">
        <v>227</v>
      </c>
      <c r="C212" s="54">
        <v>2.2000000000000002</v>
      </c>
      <c r="D212" s="16">
        <f t="shared" si="35"/>
        <v>5.0599999999999996</v>
      </c>
      <c r="E212" s="16"/>
      <c r="F212" s="31"/>
      <c r="G212" s="16"/>
      <c r="H212" s="19"/>
      <c r="I212" s="16"/>
      <c r="J212" s="20"/>
      <c r="K212" s="16"/>
      <c r="L212" s="21"/>
      <c r="M212" s="22">
        <v>100</v>
      </c>
      <c r="N212" s="22">
        <v>900</v>
      </c>
      <c r="O212" s="22">
        <v>18</v>
      </c>
      <c r="P212" s="14" t="s">
        <v>456</v>
      </c>
      <c r="Q212" s="14" t="s">
        <v>445</v>
      </c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spans="1:29" x14ac:dyDescent="0.3">
      <c r="A213" s="14" t="s">
        <v>228</v>
      </c>
      <c r="B213" s="15" t="s">
        <v>229</v>
      </c>
      <c r="C213" s="54">
        <v>2.75</v>
      </c>
      <c r="D213" s="16">
        <f t="shared" si="35"/>
        <v>6.3249999999999993</v>
      </c>
      <c r="E213" s="16"/>
      <c r="F213" s="31"/>
      <c r="G213" s="16"/>
      <c r="H213" s="19"/>
      <c r="I213" s="16"/>
      <c r="J213" s="20"/>
      <c r="K213" s="16"/>
      <c r="L213" s="21"/>
      <c r="M213" s="22">
        <v>100</v>
      </c>
      <c r="N213" s="22">
        <v>1065</v>
      </c>
      <c r="O213" s="22">
        <v>18</v>
      </c>
      <c r="P213" s="14" t="s">
        <v>456</v>
      </c>
      <c r="Q213" s="14" t="s">
        <v>445</v>
      </c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spans="1:29" x14ac:dyDescent="0.3">
      <c r="A214" s="14" t="s">
        <v>230</v>
      </c>
      <c r="B214" s="15" t="s">
        <v>231</v>
      </c>
      <c r="C214" s="54">
        <v>2.75</v>
      </c>
      <c r="D214" s="16">
        <f t="shared" si="35"/>
        <v>6.3249999999999993</v>
      </c>
      <c r="E214" s="16"/>
      <c r="F214" s="31"/>
      <c r="G214" s="16"/>
      <c r="H214" s="19"/>
      <c r="I214" s="16"/>
      <c r="J214" s="20"/>
      <c r="K214" s="16"/>
      <c r="L214" s="21"/>
      <c r="M214" s="22">
        <v>100</v>
      </c>
      <c r="N214" s="22">
        <v>1210</v>
      </c>
      <c r="O214" s="22">
        <v>18</v>
      </c>
      <c r="P214" s="14" t="s">
        <v>456</v>
      </c>
      <c r="Q214" s="14" t="s">
        <v>445</v>
      </c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1:29" x14ac:dyDescent="0.3">
      <c r="A215" s="14" t="s">
        <v>232</v>
      </c>
      <c r="B215" s="15" t="s">
        <v>233</v>
      </c>
      <c r="C215" s="54">
        <v>3.3</v>
      </c>
      <c r="D215" s="16">
        <f t="shared" si="35"/>
        <v>7.589999999999999</v>
      </c>
      <c r="E215" s="16"/>
      <c r="F215" s="31"/>
      <c r="G215" s="16"/>
      <c r="H215" s="19"/>
      <c r="I215" s="16"/>
      <c r="J215" s="20"/>
      <c r="K215" s="16"/>
      <c r="L215" s="21"/>
      <c r="M215" s="22">
        <v>100</v>
      </c>
      <c r="N215" s="22">
        <v>1390</v>
      </c>
      <c r="O215" s="22">
        <v>18</v>
      </c>
      <c r="P215" s="14" t="s">
        <v>456</v>
      </c>
      <c r="Q215" s="14" t="s">
        <v>445</v>
      </c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1:29" x14ac:dyDescent="0.3">
      <c r="A216" s="14" t="s">
        <v>234</v>
      </c>
      <c r="B216" s="15" t="s">
        <v>235</v>
      </c>
      <c r="C216" s="54">
        <v>4.4000000000000004</v>
      </c>
      <c r="D216" s="16">
        <f t="shared" si="35"/>
        <v>10.119999999999999</v>
      </c>
      <c r="E216" s="16"/>
      <c r="F216" s="31"/>
      <c r="G216" s="16"/>
      <c r="H216" s="19"/>
      <c r="I216" s="16"/>
      <c r="J216" s="20"/>
      <c r="K216" s="16"/>
      <c r="L216" s="21"/>
      <c r="M216" s="22">
        <v>100</v>
      </c>
      <c r="N216" s="22">
        <v>1825</v>
      </c>
      <c r="O216" s="22">
        <v>18</v>
      </c>
      <c r="P216" s="14" t="s">
        <v>456</v>
      </c>
      <c r="Q216" s="14" t="s">
        <v>445</v>
      </c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spans="1:29" x14ac:dyDescent="0.3">
      <c r="A217" s="14" t="s">
        <v>236</v>
      </c>
      <c r="B217" s="15" t="s">
        <v>237</v>
      </c>
      <c r="C217" s="54">
        <v>5.5</v>
      </c>
      <c r="D217" s="16">
        <f t="shared" si="35"/>
        <v>12.649999999999999</v>
      </c>
      <c r="E217" s="16"/>
      <c r="F217" s="31"/>
      <c r="G217" s="16"/>
      <c r="H217" s="19"/>
      <c r="I217" s="16"/>
      <c r="J217" s="20"/>
      <c r="K217" s="16"/>
      <c r="L217" s="21"/>
      <c r="M217" s="22">
        <v>100</v>
      </c>
      <c r="N217" s="22">
        <v>1970</v>
      </c>
      <c r="O217" s="22">
        <v>18</v>
      </c>
      <c r="P217" s="14" t="s">
        <v>456</v>
      </c>
      <c r="Q217" s="14" t="s">
        <v>445</v>
      </c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spans="1:29" x14ac:dyDescent="0.3">
      <c r="A218" s="14" t="s">
        <v>238</v>
      </c>
      <c r="B218" s="15" t="s">
        <v>239</v>
      </c>
      <c r="C218" s="54">
        <v>5.5</v>
      </c>
      <c r="D218" s="16">
        <f t="shared" si="35"/>
        <v>12.649999999999999</v>
      </c>
      <c r="E218" s="16"/>
      <c r="F218" s="31"/>
      <c r="G218" s="16"/>
      <c r="H218" s="19"/>
      <c r="I218" s="16"/>
      <c r="J218" s="20"/>
      <c r="K218" s="16"/>
      <c r="L218" s="21"/>
      <c r="M218" s="22">
        <v>100</v>
      </c>
      <c r="N218" s="22">
        <v>2150</v>
      </c>
      <c r="O218" s="22">
        <v>18</v>
      </c>
      <c r="P218" s="14" t="s">
        <v>456</v>
      </c>
      <c r="Q218" s="14" t="s">
        <v>445</v>
      </c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spans="1:29" x14ac:dyDescent="0.3">
      <c r="A219" s="14" t="s">
        <v>240</v>
      </c>
      <c r="B219" s="15" t="s">
        <v>241</v>
      </c>
      <c r="C219" s="54">
        <v>8.5</v>
      </c>
      <c r="D219" s="16">
        <f t="shared" si="35"/>
        <v>19.549999999999997</v>
      </c>
      <c r="E219" s="16"/>
      <c r="F219" s="31"/>
      <c r="G219" s="16"/>
      <c r="H219" s="19"/>
      <c r="I219" s="16"/>
      <c r="J219" s="20"/>
      <c r="K219" s="16"/>
      <c r="L219" s="21"/>
      <c r="M219" s="22">
        <v>2500</v>
      </c>
      <c r="N219" s="22">
        <v>100</v>
      </c>
      <c r="O219" s="22">
        <v>18</v>
      </c>
      <c r="P219" s="14" t="s">
        <v>456</v>
      </c>
      <c r="Q219" s="14" t="s">
        <v>457</v>
      </c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spans="1:29" x14ac:dyDescent="0.3">
      <c r="A220" s="14"/>
      <c r="B220" s="15"/>
      <c r="C220" s="54"/>
      <c r="D220" s="16"/>
      <c r="E220" s="16"/>
      <c r="F220" s="31"/>
      <c r="G220" s="16"/>
      <c r="H220" s="19"/>
      <c r="I220" s="16"/>
      <c r="J220" s="20"/>
      <c r="K220" s="16"/>
      <c r="L220" s="21"/>
      <c r="M220" s="22"/>
      <c r="N220" s="22"/>
      <c r="O220" s="22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spans="1:29" x14ac:dyDescent="0.3">
      <c r="A221" s="14" t="s">
        <v>242</v>
      </c>
      <c r="B221" s="15" t="s">
        <v>243</v>
      </c>
      <c r="C221" s="54">
        <v>9.25</v>
      </c>
      <c r="D221" s="16">
        <f t="shared" ref="D221:D222" si="36">PRODUCT(C221,$D$1)</f>
        <v>21.274999999999999</v>
      </c>
      <c r="E221" s="16"/>
      <c r="F221" s="31"/>
      <c r="G221" s="16"/>
      <c r="H221" s="19"/>
      <c r="I221" s="16"/>
      <c r="J221" s="20"/>
      <c r="K221" s="16"/>
      <c r="L221" s="21"/>
      <c r="M221" s="22"/>
      <c r="N221" s="22"/>
      <c r="O221" s="22"/>
      <c r="P221" s="14" t="s">
        <v>545</v>
      </c>
      <c r="Q221" s="14" t="s">
        <v>548</v>
      </c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spans="1:29" x14ac:dyDescent="0.3">
      <c r="A222" s="14" t="s">
        <v>244</v>
      </c>
      <c r="B222" s="15" t="s">
        <v>245</v>
      </c>
      <c r="C222" s="54">
        <v>13.25</v>
      </c>
      <c r="D222" s="16">
        <f t="shared" si="36"/>
        <v>30.474999999999998</v>
      </c>
      <c r="E222" s="16"/>
      <c r="F222" s="31"/>
      <c r="G222" s="16"/>
      <c r="H222" s="19"/>
      <c r="I222" s="16"/>
      <c r="J222" s="20"/>
      <c r="K222" s="16"/>
      <c r="L222" s="21"/>
      <c r="M222" s="22"/>
      <c r="N222" s="22"/>
      <c r="O222" s="22"/>
      <c r="P222" s="14" t="s">
        <v>545</v>
      </c>
      <c r="Q222" s="14" t="s">
        <v>548</v>
      </c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spans="1:29" x14ac:dyDescent="0.3">
      <c r="A223" s="14"/>
      <c r="B223" s="15"/>
      <c r="C223" s="54"/>
      <c r="D223" s="16"/>
      <c r="E223" s="16"/>
      <c r="F223" s="31"/>
      <c r="G223" s="16"/>
      <c r="H223" s="19"/>
      <c r="I223" s="16"/>
      <c r="J223" s="20"/>
      <c r="K223" s="16"/>
      <c r="L223" s="21"/>
      <c r="M223" s="22"/>
      <c r="N223" s="22"/>
      <c r="O223" s="22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spans="1:29" x14ac:dyDescent="0.3">
      <c r="A224" s="14" t="s">
        <v>541</v>
      </c>
      <c r="B224" s="15" t="s">
        <v>246</v>
      </c>
      <c r="C224" s="54">
        <v>30</v>
      </c>
      <c r="D224" s="16">
        <f t="shared" ref="D224:D228" si="37">PRODUCT(C224,$D$1)</f>
        <v>69</v>
      </c>
      <c r="E224" s="16"/>
      <c r="F224" s="31"/>
      <c r="G224" s="16"/>
      <c r="H224" s="19"/>
      <c r="I224" s="16"/>
      <c r="J224" s="20"/>
      <c r="K224" s="16"/>
      <c r="L224" s="21"/>
      <c r="M224" s="22"/>
      <c r="N224" s="22"/>
      <c r="O224" s="22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spans="1:29" x14ac:dyDescent="0.3">
      <c r="A225" s="14" t="s">
        <v>542</v>
      </c>
      <c r="B225" s="15" t="s">
        <v>247</v>
      </c>
      <c r="C225" s="54">
        <v>40</v>
      </c>
      <c r="D225" s="16">
        <f t="shared" si="37"/>
        <v>92</v>
      </c>
      <c r="E225" s="16"/>
      <c r="F225" s="31"/>
      <c r="G225" s="16"/>
      <c r="H225" s="19"/>
      <c r="I225" s="16"/>
      <c r="J225" s="20"/>
      <c r="K225" s="16"/>
      <c r="L225" s="21"/>
      <c r="M225" s="22"/>
      <c r="N225" s="22"/>
      <c r="O225" s="22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spans="1:29" x14ac:dyDescent="0.3">
      <c r="A226" s="14" t="s">
        <v>248</v>
      </c>
      <c r="B226" s="15" t="s">
        <v>249</v>
      </c>
      <c r="C226" s="54">
        <v>300</v>
      </c>
      <c r="D226" s="16">
        <f t="shared" si="37"/>
        <v>690</v>
      </c>
      <c r="E226" s="16"/>
      <c r="F226" s="31"/>
      <c r="G226" s="16"/>
      <c r="H226" s="19"/>
      <c r="I226" s="16"/>
      <c r="J226" s="20"/>
      <c r="K226" s="16"/>
      <c r="L226" s="21"/>
      <c r="M226" s="36">
        <v>600</v>
      </c>
      <c r="N226" s="36">
        <v>1210</v>
      </c>
      <c r="O226" s="36">
        <v>400</v>
      </c>
      <c r="P226" s="14" t="s">
        <v>512</v>
      </c>
      <c r="Q226" s="14" t="s">
        <v>546</v>
      </c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spans="1:29" x14ac:dyDescent="0.3">
      <c r="A227" s="14" t="s">
        <v>250</v>
      </c>
      <c r="B227" s="15" t="s">
        <v>251</v>
      </c>
      <c r="C227" s="54">
        <v>600</v>
      </c>
      <c r="D227" s="16">
        <f t="shared" si="37"/>
        <v>1380</v>
      </c>
      <c r="E227" s="16"/>
      <c r="F227" s="31"/>
      <c r="G227" s="16"/>
      <c r="H227" s="19"/>
      <c r="I227" s="16"/>
      <c r="J227" s="20"/>
      <c r="K227" s="16"/>
      <c r="L227" s="21"/>
      <c r="M227" s="36">
        <v>600</v>
      </c>
      <c r="N227" s="36">
        <v>1210</v>
      </c>
      <c r="O227" s="36">
        <v>400</v>
      </c>
      <c r="P227" s="14" t="s">
        <v>512</v>
      </c>
      <c r="Q227" s="14" t="s">
        <v>546</v>
      </c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spans="1:29" x14ac:dyDescent="0.3">
      <c r="A228" s="14" t="s">
        <v>252</v>
      </c>
      <c r="B228" s="15" t="s">
        <v>253</v>
      </c>
      <c r="C228" s="54">
        <v>800</v>
      </c>
      <c r="D228" s="16">
        <f t="shared" si="37"/>
        <v>1839.9999999999998</v>
      </c>
      <c r="E228" s="16"/>
      <c r="F228" s="31"/>
      <c r="G228" s="16"/>
      <c r="H228" s="19"/>
      <c r="I228" s="16"/>
      <c r="J228" s="20"/>
      <c r="K228" s="16"/>
      <c r="L228" s="21"/>
      <c r="M228" s="36">
        <v>900</v>
      </c>
      <c r="N228" s="36">
        <v>1210</v>
      </c>
      <c r="O228" s="36">
        <v>400</v>
      </c>
      <c r="P228" s="14" t="s">
        <v>512</v>
      </c>
      <c r="Q228" s="14" t="s">
        <v>546</v>
      </c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spans="1:29" x14ac:dyDescent="0.3">
      <c r="A229" s="14"/>
      <c r="B229" s="15"/>
      <c r="C229" s="54"/>
      <c r="D229" s="16"/>
      <c r="E229" s="16"/>
      <c r="F229" s="31"/>
      <c r="G229" s="16"/>
      <c r="H229" s="19"/>
      <c r="I229" s="16"/>
      <c r="J229" s="20"/>
      <c r="K229" s="16"/>
      <c r="L229" s="21"/>
      <c r="M229" s="22"/>
      <c r="N229" s="22"/>
      <c r="O229" s="22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spans="1:29" x14ac:dyDescent="0.3">
      <c r="A230" s="14" t="s">
        <v>254</v>
      </c>
      <c r="B230" s="15" t="s">
        <v>513</v>
      </c>
      <c r="C230" s="54">
        <v>2.5</v>
      </c>
      <c r="D230" s="16">
        <f t="shared" ref="D230:D231" si="38">PRODUCT(C230,$D$1)</f>
        <v>5.75</v>
      </c>
      <c r="E230" s="16"/>
      <c r="F230" s="31"/>
      <c r="G230" s="16"/>
      <c r="H230" s="19"/>
      <c r="I230" s="16"/>
      <c r="J230" s="20"/>
      <c r="K230" s="16"/>
      <c r="L230" s="21"/>
      <c r="M230" s="22"/>
      <c r="N230" s="22"/>
      <c r="O230" s="22"/>
      <c r="P230" s="14" t="s">
        <v>545</v>
      </c>
      <c r="Q230" s="14" t="s">
        <v>547</v>
      </c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spans="1:29" x14ac:dyDescent="0.3">
      <c r="A231" s="14" t="s">
        <v>255</v>
      </c>
      <c r="B231" s="15" t="s">
        <v>514</v>
      </c>
      <c r="C231" s="54">
        <v>4</v>
      </c>
      <c r="D231" s="16">
        <f t="shared" si="38"/>
        <v>9.1999999999999993</v>
      </c>
      <c r="E231" s="16"/>
      <c r="F231" s="31"/>
      <c r="G231" s="16"/>
      <c r="H231" s="19"/>
      <c r="I231" s="16"/>
      <c r="J231" s="20"/>
      <c r="K231" s="16"/>
      <c r="L231" s="21"/>
      <c r="M231" s="22"/>
      <c r="N231" s="22"/>
      <c r="O231" s="22"/>
      <c r="P231" s="14" t="s">
        <v>545</v>
      </c>
      <c r="Q231" s="14" t="s">
        <v>547</v>
      </c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spans="1:29" x14ac:dyDescent="0.3">
      <c r="A232" s="14"/>
      <c r="B232" s="15"/>
      <c r="C232" s="76"/>
      <c r="D232" s="32"/>
      <c r="E232" s="32"/>
      <c r="F232" s="77"/>
      <c r="G232" s="32"/>
      <c r="H232" s="89"/>
      <c r="I232" s="32"/>
      <c r="J232" s="34"/>
      <c r="K232" s="32"/>
      <c r="L232" s="35"/>
      <c r="M232" s="36"/>
      <c r="N232" s="36"/>
      <c r="O232" s="36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spans="1:29" x14ac:dyDescent="0.3">
      <c r="A233" s="14" t="s">
        <v>256</v>
      </c>
      <c r="B233" s="36" t="s">
        <v>257</v>
      </c>
      <c r="C233" s="54">
        <v>42</v>
      </c>
      <c r="D233" s="16">
        <f t="shared" ref="D233:D236" si="39">PRODUCT(C233,$D$1)</f>
        <v>96.6</v>
      </c>
      <c r="E233" s="16"/>
      <c r="F233" s="31"/>
      <c r="G233" s="16"/>
      <c r="H233" s="19"/>
      <c r="I233" s="16"/>
      <c r="J233" s="20"/>
      <c r="K233" s="16"/>
      <c r="L233" s="21"/>
      <c r="M233" s="22">
        <v>300</v>
      </c>
      <c r="N233" s="22">
        <v>720</v>
      </c>
      <c r="O233" s="22">
        <v>300</v>
      </c>
      <c r="P233" s="14" t="s">
        <v>458</v>
      </c>
      <c r="Q233" s="14" t="s">
        <v>549</v>
      </c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spans="1:29" x14ac:dyDescent="0.3">
      <c r="A234" s="14" t="s">
        <v>258</v>
      </c>
      <c r="B234" s="36" t="s">
        <v>259</v>
      </c>
      <c r="C234" s="54">
        <v>42</v>
      </c>
      <c r="D234" s="16">
        <f t="shared" si="39"/>
        <v>96.6</v>
      </c>
      <c r="E234" s="16"/>
      <c r="F234" s="31"/>
      <c r="G234" s="16"/>
      <c r="H234" s="19"/>
      <c r="I234" s="16"/>
      <c r="J234" s="20"/>
      <c r="K234" s="16"/>
      <c r="L234" s="21"/>
      <c r="M234" s="22">
        <v>300</v>
      </c>
      <c r="N234" s="22">
        <v>720</v>
      </c>
      <c r="O234" s="22">
        <v>300</v>
      </c>
      <c r="P234" s="14" t="s">
        <v>410</v>
      </c>
      <c r="Q234" s="14" t="s">
        <v>549</v>
      </c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spans="1:29" x14ac:dyDescent="0.3">
      <c r="A235" s="14" t="s">
        <v>260</v>
      </c>
      <c r="B235" s="15" t="s">
        <v>261</v>
      </c>
      <c r="C235" s="54">
        <v>120</v>
      </c>
      <c r="D235" s="16">
        <f t="shared" si="39"/>
        <v>276</v>
      </c>
      <c r="E235" s="16"/>
      <c r="F235" s="31"/>
      <c r="G235" s="16"/>
      <c r="H235" s="19"/>
      <c r="I235" s="16"/>
      <c r="J235" s="20"/>
      <c r="K235" s="16"/>
      <c r="L235" s="21"/>
      <c r="M235" s="22">
        <v>900</v>
      </c>
      <c r="N235" s="22">
        <v>720</v>
      </c>
      <c r="O235" s="22">
        <v>900</v>
      </c>
      <c r="P235" s="14" t="s">
        <v>410</v>
      </c>
      <c r="Q235" s="14" t="s">
        <v>549</v>
      </c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spans="1:29" x14ac:dyDescent="0.3">
      <c r="A236" s="14" t="s">
        <v>262</v>
      </c>
      <c r="B236" s="15" t="s">
        <v>263</v>
      </c>
      <c r="C236" s="54">
        <v>150</v>
      </c>
      <c r="D236" s="16">
        <f t="shared" si="39"/>
        <v>345</v>
      </c>
      <c r="E236" s="16"/>
      <c r="F236" s="31"/>
      <c r="G236" s="16"/>
      <c r="H236" s="19"/>
      <c r="I236" s="16"/>
      <c r="J236" s="20"/>
      <c r="K236" s="16"/>
      <c r="L236" s="21"/>
      <c r="M236" s="22">
        <v>1200</v>
      </c>
      <c r="N236" s="22">
        <v>720</v>
      </c>
      <c r="O236" s="22">
        <v>1200</v>
      </c>
      <c r="P236" s="14" t="s">
        <v>410</v>
      </c>
      <c r="Q236" s="14" t="s">
        <v>549</v>
      </c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spans="1:29" x14ac:dyDescent="0.3">
      <c r="A237" s="14"/>
      <c r="B237" s="15"/>
      <c r="C237" s="76"/>
      <c r="D237" s="32"/>
      <c r="E237" s="32"/>
      <c r="F237" s="77"/>
      <c r="G237" s="32"/>
      <c r="H237" s="89"/>
      <c r="I237" s="32"/>
      <c r="J237" s="34"/>
      <c r="K237" s="32"/>
      <c r="L237" s="35"/>
      <c r="M237" s="36"/>
      <c r="N237" s="36"/>
      <c r="O237" s="36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spans="1:29" x14ac:dyDescent="0.3">
      <c r="A238" s="14"/>
      <c r="B238" s="15"/>
      <c r="C238" s="76"/>
      <c r="D238" s="32"/>
      <c r="E238" s="32"/>
      <c r="F238" s="77"/>
      <c r="G238" s="32"/>
      <c r="H238" s="89"/>
      <c r="I238" s="32"/>
      <c r="J238" s="34"/>
      <c r="K238" s="32"/>
      <c r="L238" s="35"/>
      <c r="M238" s="36"/>
      <c r="N238" s="36"/>
      <c r="O238" s="36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spans="1:29" x14ac:dyDescent="0.3">
      <c r="A239" s="14"/>
      <c r="B239" s="15"/>
      <c r="C239" s="76"/>
      <c r="D239" s="32"/>
      <c r="E239" s="32"/>
      <c r="F239" s="77"/>
      <c r="G239" s="32"/>
      <c r="H239" s="89"/>
      <c r="I239" s="32"/>
      <c r="J239" s="34"/>
      <c r="K239" s="32"/>
      <c r="L239" s="35"/>
      <c r="M239" s="36"/>
      <c r="N239" s="36"/>
      <c r="O239" s="36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spans="1:29" ht="15.6" x14ac:dyDescent="0.3">
      <c r="A240" s="78" t="s">
        <v>59</v>
      </c>
      <c r="B240" s="15"/>
      <c r="C240" s="79" t="s">
        <v>0</v>
      </c>
      <c r="D240" s="80" t="s">
        <v>0</v>
      </c>
      <c r="E240" s="80"/>
      <c r="F240" s="81"/>
      <c r="G240" s="80"/>
      <c r="H240" s="90"/>
      <c r="I240" s="80"/>
      <c r="J240" s="91"/>
      <c r="K240" s="80"/>
      <c r="L240" s="92"/>
      <c r="M240" s="78" t="s">
        <v>419</v>
      </c>
      <c r="N240" s="78" t="s">
        <v>420</v>
      </c>
      <c r="O240" s="78" t="s">
        <v>421</v>
      </c>
      <c r="P240" s="14" t="s">
        <v>409</v>
      </c>
      <c r="Q240" s="14" t="s">
        <v>409</v>
      </c>
      <c r="R240" s="14" t="s">
        <v>413</v>
      </c>
      <c r="S240" s="14" t="s">
        <v>414</v>
      </c>
      <c r="T240" s="14" t="s">
        <v>415</v>
      </c>
      <c r="U240" s="14" t="s">
        <v>416</v>
      </c>
      <c r="V240" s="14" t="s">
        <v>417</v>
      </c>
      <c r="W240" s="14" t="s">
        <v>418</v>
      </c>
      <c r="X240" s="14" t="s">
        <v>422</v>
      </c>
      <c r="Y240" s="14" t="s">
        <v>423</v>
      </c>
      <c r="Z240" s="14" t="s">
        <v>424</v>
      </c>
      <c r="AA240" s="14" t="s">
        <v>469</v>
      </c>
      <c r="AB240" s="14" t="s">
        <v>470</v>
      </c>
      <c r="AC240" s="14" t="s">
        <v>471</v>
      </c>
    </row>
    <row r="241" spans="1:29" x14ac:dyDescent="0.3">
      <c r="A241" s="14" t="s">
        <v>264</v>
      </c>
      <c r="B241" s="36" t="s">
        <v>265</v>
      </c>
      <c r="C241" s="54">
        <v>23.1</v>
      </c>
      <c r="D241" s="16">
        <f t="shared" ref="D241:D242" si="40">PRODUCT(C241,$D$1)</f>
        <v>53.13</v>
      </c>
      <c r="E241" s="16"/>
      <c r="F241" s="31"/>
      <c r="G241" s="16"/>
      <c r="H241" s="19"/>
      <c r="I241" s="16"/>
      <c r="J241" s="20"/>
      <c r="K241" s="16"/>
      <c r="L241" s="21"/>
      <c r="M241" s="22">
        <v>300</v>
      </c>
      <c r="N241" s="22">
        <v>290</v>
      </c>
      <c r="O241" s="22">
        <v>300</v>
      </c>
      <c r="P241" s="14" t="s">
        <v>458</v>
      </c>
      <c r="Q241" s="14" t="s">
        <v>459</v>
      </c>
      <c r="R241" s="14">
        <v>1</v>
      </c>
      <c r="S241" s="14">
        <v>285</v>
      </c>
      <c r="T241" s="14">
        <v>295</v>
      </c>
      <c r="U241" s="14"/>
      <c r="V241" s="14"/>
      <c r="W241" s="14"/>
      <c r="X241" s="14"/>
      <c r="Y241" s="14"/>
      <c r="Z241" s="14"/>
      <c r="AA241" s="14"/>
      <c r="AB241" s="14"/>
      <c r="AC241" s="14"/>
    </row>
    <row r="242" spans="1:29" x14ac:dyDescent="0.3">
      <c r="A242" s="14" t="s">
        <v>266</v>
      </c>
      <c r="B242" s="36" t="s">
        <v>267</v>
      </c>
      <c r="C242" s="54">
        <v>25.3</v>
      </c>
      <c r="D242" s="16">
        <f t="shared" si="40"/>
        <v>58.19</v>
      </c>
      <c r="E242" s="16"/>
      <c r="F242" s="31"/>
      <c r="G242" s="16"/>
      <c r="H242" s="19"/>
      <c r="I242" s="16"/>
      <c r="J242" s="20"/>
      <c r="K242" s="16"/>
      <c r="L242" s="21"/>
      <c r="M242" s="22">
        <v>360</v>
      </c>
      <c r="N242" s="22">
        <v>360</v>
      </c>
      <c r="O242" s="22">
        <v>300</v>
      </c>
      <c r="P242" s="14" t="s">
        <v>458</v>
      </c>
      <c r="Q242" s="14" t="s">
        <v>459</v>
      </c>
      <c r="R242" s="14">
        <v>1</v>
      </c>
      <c r="S242" s="14">
        <v>355</v>
      </c>
      <c r="T242" s="14">
        <v>355</v>
      </c>
      <c r="U242" s="14"/>
      <c r="V242" s="14"/>
      <c r="W242" s="14"/>
      <c r="X242" s="14"/>
      <c r="Y242" s="14"/>
      <c r="Z242" s="14"/>
      <c r="AA242" s="14"/>
      <c r="AB242" s="14"/>
      <c r="AC242" s="14"/>
    </row>
    <row r="243" spans="1:29" x14ac:dyDescent="0.3">
      <c r="A243" s="14"/>
      <c r="B243" s="15"/>
      <c r="C243" s="54"/>
      <c r="D243" s="16"/>
      <c r="E243" s="16"/>
      <c r="F243" s="31"/>
      <c r="G243" s="16"/>
      <c r="H243" s="19"/>
      <c r="I243" s="16"/>
      <c r="J243" s="20"/>
      <c r="K243" s="16"/>
      <c r="L243" s="21"/>
      <c r="M243" s="22"/>
      <c r="N243" s="22"/>
      <c r="O243" s="22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spans="1:29" x14ac:dyDescent="0.3">
      <c r="A244" s="14"/>
      <c r="B244" s="15"/>
      <c r="C244" s="54"/>
      <c r="D244" s="16"/>
      <c r="E244" s="16"/>
      <c r="F244" s="31"/>
      <c r="G244" s="16"/>
      <c r="H244" s="19"/>
      <c r="I244" s="16"/>
      <c r="J244" s="20"/>
      <c r="K244" s="16"/>
      <c r="L244" s="21"/>
      <c r="M244" s="22"/>
      <c r="N244" s="22"/>
      <c r="O244" s="22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spans="1:29" x14ac:dyDescent="0.3">
      <c r="A245" s="14" t="s">
        <v>268</v>
      </c>
      <c r="B245" s="15" t="s">
        <v>269</v>
      </c>
      <c r="C245" s="54">
        <v>61.5</v>
      </c>
      <c r="D245" s="16">
        <f t="shared" ref="D245:D249" si="41">PRODUCT(C245,$D$1)</f>
        <v>141.44999999999999</v>
      </c>
      <c r="E245" s="16"/>
      <c r="F245" s="31"/>
      <c r="G245" s="16"/>
      <c r="H245" s="19"/>
      <c r="I245" s="16"/>
      <c r="J245" s="20"/>
      <c r="K245" s="16"/>
      <c r="L245" s="21"/>
      <c r="M245" s="22">
        <v>300</v>
      </c>
      <c r="N245" s="22">
        <v>1065</v>
      </c>
      <c r="O245" s="22">
        <v>560</v>
      </c>
      <c r="P245" s="14" t="s">
        <v>512</v>
      </c>
      <c r="Q245" s="14" t="s">
        <v>435</v>
      </c>
      <c r="R245" s="14"/>
      <c r="S245" s="14"/>
      <c r="T245" s="14"/>
      <c r="U245" s="14"/>
      <c r="V245" s="14"/>
      <c r="W245" s="14"/>
      <c r="X245" s="14"/>
      <c r="Y245" s="14"/>
      <c r="Z245" s="14"/>
      <c r="AA245" s="16"/>
      <c r="AB245" s="14"/>
      <c r="AC245" s="14"/>
    </row>
    <row r="246" spans="1:29" x14ac:dyDescent="0.3">
      <c r="A246" s="14" t="s">
        <v>270</v>
      </c>
      <c r="B246" s="15" t="s">
        <v>271</v>
      </c>
      <c r="C246" s="54">
        <v>62.6</v>
      </c>
      <c r="D246" s="16">
        <f t="shared" si="41"/>
        <v>143.97999999999999</v>
      </c>
      <c r="E246" s="16"/>
      <c r="F246" s="31"/>
      <c r="G246" s="16"/>
      <c r="H246" s="19"/>
      <c r="I246" s="16"/>
      <c r="J246" s="20"/>
      <c r="K246" s="16"/>
      <c r="L246" s="21"/>
      <c r="M246" s="22">
        <v>400</v>
      </c>
      <c r="N246" s="22">
        <v>1065</v>
      </c>
      <c r="O246" s="22">
        <v>560</v>
      </c>
      <c r="P246" s="14" t="s">
        <v>512</v>
      </c>
      <c r="Q246" s="14" t="s">
        <v>435</v>
      </c>
      <c r="R246" s="14"/>
      <c r="S246" s="14"/>
      <c r="T246" s="14"/>
      <c r="U246" s="14"/>
      <c r="V246" s="14"/>
      <c r="W246" s="14"/>
      <c r="X246" s="14"/>
      <c r="Y246" s="14"/>
      <c r="Z246" s="14"/>
      <c r="AA246" s="16"/>
      <c r="AB246" s="14"/>
      <c r="AC246" s="14"/>
    </row>
    <row r="247" spans="1:29" x14ac:dyDescent="0.3">
      <c r="A247" s="14" t="s">
        <v>272</v>
      </c>
      <c r="B247" s="15" t="s">
        <v>273</v>
      </c>
      <c r="C247" s="54">
        <v>63.7</v>
      </c>
      <c r="D247" s="16">
        <f t="shared" si="41"/>
        <v>146.51</v>
      </c>
      <c r="E247" s="16"/>
      <c r="F247" s="31"/>
      <c r="G247" s="16"/>
      <c r="H247" s="19"/>
      <c r="I247" s="16"/>
      <c r="J247" s="20"/>
      <c r="K247" s="16"/>
      <c r="L247" s="21"/>
      <c r="M247" s="22">
        <v>450</v>
      </c>
      <c r="N247" s="22">
        <v>1065</v>
      </c>
      <c r="O247" s="22">
        <v>560</v>
      </c>
      <c r="P247" s="14" t="s">
        <v>512</v>
      </c>
      <c r="Q247" s="14" t="s">
        <v>435</v>
      </c>
      <c r="R247" s="14"/>
      <c r="S247" s="14"/>
      <c r="T247" s="14"/>
      <c r="U247" s="14"/>
      <c r="V247" s="14"/>
      <c r="W247" s="14"/>
      <c r="X247" s="14"/>
      <c r="Y247" s="14"/>
      <c r="Z247" s="14"/>
      <c r="AA247" s="16"/>
      <c r="AB247" s="14"/>
      <c r="AC247" s="14"/>
    </row>
    <row r="248" spans="1:29" x14ac:dyDescent="0.3">
      <c r="A248" s="14" t="s">
        <v>274</v>
      </c>
      <c r="B248" s="15" t="s">
        <v>275</v>
      </c>
      <c r="C248" s="54">
        <v>64.8</v>
      </c>
      <c r="D248" s="16">
        <f t="shared" si="41"/>
        <v>149.04</v>
      </c>
      <c r="E248" s="16"/>
      <c r="F248" s="31"/>
      <c r="G248" s="16"/>
      <c r="H248" s="19"/>
      <c r="I248" s="16"/>
      <c r="J248" s="20"/>
      <c r="K248" s="16"/>
      <c r="L248" s="21"/>
      <c r="M248" s="22">
        <v>500</v>
      </c>
      <c r="N248" s="22">
        <v>1065</v>
      </c>
      <c r="O248" s="22">
        <v>560</v>
      </c>
      <c r="P248" s="14" t="s">
        <v>512</v>
      </c>
      <c r="Q248" s="14" t="s">
        <v>435</v>
      </c>
      <c r="R248" s="14"/>
      <c r="S248" s="14"/>
      <c r="T248" s="14"/>
      <c r="U248" s="14"/>
      <c r="V248" s="14"/>
      <c r="W248" s="14"/>
      <c r="X248" s="14"/>
      <c r="Y248" s="14"/>
      <c r="Z248" s="14"/>
      <c r="AA248" s="16"/>
      <c r="AB248" s="14"/>
      <c r="AC248" s="14"/>
    </row>
    <row r="249" spans="1:29" x14ac:dyDescent="0.3">
      <c r="A249" s="14" t="s">
        <v>276</v>
      </c>
      <c r="B249" s="15" t="s">
        <v>277</v>
      </c>
      <c r="C249" s="54">
        <v>65.900000000000006</v>
      </c>
      <c r="D249" s="16">
        <f t="shared" si="41"/>
        <v>151.57</v>
      </c>
      <c r="E249" s="16"/>
      <c r="F249" s="31"/>
      <c r="G249" s="16"/>
      <c r="H249" s="19"/>
      <c r="I249" s="16"/>
      <c r="J249" s="20"/>
      <c r="K249" s="16"/>
      <c r="L249" s="21"/>
      <c r="M249" s="22">
        <v>600</v>
      </c>
      <c r="N249" s="22">
        <v>1065</v>
      </c>
      <c r="O249" s="22">
        <v>560</v>
      </c>
      <c r="P249" s="14" t="s">
        <v>512</v>
      </c>
      <c r="Q249" s="14" t="s">
        <v>435</v>
      </c>
      <c r="R249" s="14"/>
      <c r="S249" s="14"/>
      <c r="T249" s="14"/>
      <c r="U249" s="14"/>
      <c r="V249" s="14"/>
      <c r="W249" s="14"/>
      <c r="X249" s="14"/>
      <c r="Y249" s="14"/>
      <c r="Z249" s="14"/>
      <c r="AA249" s="16"/>
      <c r="AB249" s="14"/>
      <c r="AC249" s="14"/>
    </row>
    <row r="250" spans="1:29" x14ac:dyDescent="0.3">
      <c r="A250" s="14"/>
      <c r="B250" s="25" t="s">
        <v>278</v>
      </c>
      <c r="C250" s="54"/>
      <c r="D250" s="16"/>
      <c r="E250" s="16"/>
      <c r="F250" s="31"/>
      <c r="G250" s="16"/>
      <c r="H250" s="19"/>
      <c r="I250" s="16"/>
      <c r="J250" s="20"/>
      <c r="K250" s="16"/>
      <c r="L250" s="21"/>
      <c r="M250" s="22"/>
      <c r="N250" s="22"/>
      <c r="O250" s="22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6"/>
      <c r="AB250" s="16"/>
      <c r="AC250" s="14"/>
    </row>
    <row r="251" spans="1:29" x14ac:dyDescent="0.3">
      <c r="A251" s="14"/>
      <c r="B251" s="15"/>
      <c r="C251" s="54"/>
      <c r="D251" s="16"/>
      <c r="E251" s="16"/>
      <c r="F251" s="31"/>
      <c r="G251" s="16"/>
      <c r="H251" s="19"/>
      <c r="I251" s="16"/>
      <c r="J251" s="20"/>
      <c r="K251" s="16"/>
      <c r="L251" s="21"/>
      <c r="M251" s="22"/>
      <c r="N251" s="22"/>
      <c r="O251" s="22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6"/>
      <c r="AB251" s="16"/>
      <c r="AC251" s="14"/>
    </row>
    <row r="252" spans="1:29" x14ac:dyDescent="0.3">
      <c r="A252" s="14"/>
      <c r="B252" s="15"/>
      <c r="C252" s="54"/>
      <c r="D252" s="16"/>
      <c r="E252" s="16"/>
      <c r="F252" s="31"/>
      <c r="G252" s="16"/>
      <c r="H252" s="19"/>
      <c r="I252" s="16"/>
      <c r="J252" s="20"/>
      <c r="K252" s="16"/>
      <c r="L252" s="21"/>
      <c r="M252" s="22"/>
      <c r="N252" s="22"/>
      <c r="O252" s="22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6"/>
      <c r="AC252" s="14"/>
    </row>
    <row r="253" spans="1:29" x14ac:dyDescent="0.3">
      <c r="A253" s="14" t="s">
        <v>279</v>
      </c>
      <c r="B253" s="15" t="s">
        <v>280</v>
      </c>
      <c r="C253" s="54">
        <v>76.8</v>
      </c>
      <c r="D253" s="16">
        <f t="shared" ref="D253:D257" si="42">PRODUCT(C253,$D$1)</f>
        <v>176.64</v>
      </c>
      <c r="E253" s="16"/>
      <c r="F253" s="31"/>
      <c r="G253" s="16"/>
      <c r="H253" s="19"/>
      <c r="I253" s="16"/>
      <c r="J253" s="20"/>
      <c r="K253" s="16"/>
      <c r="L253" s="21"/>
      <c r="M253" s="22">
        <v>300</v>
      </c>
      <c r="N253" s="22">
        <v>1210</v>
      </c>
      <c r="O253" s="22">
        <v>560</v>
      </c>
      <c r="P253" s="14" t="s">
        <v>512</v>
      </c>
      <c r="Q253" s="14" t="s">
        <v>432</v>
      </c>
      <c r="R253" s="14"/>
      <c r="S253" s="14"/>
      <c r="T253" s="14"/>
      <c r="U253" s="14"/>
      <c r="V253" s="14"/>
      <c r="W253" s="14"/>
      <c r="X253" s="14"/>
      <c r="Y253" s="14"/>
      <c r="Z253" s="14"/>
      <c r="AA253" s="16"/>
      <c r="AB253" s="16"/>
      <c r="AC253" s="14"/>
    </row>
    <row r="254" spans="1:29" x14ac:dyDescent="0.3">
      <c r="A254" s="14" t="s">
        <v>281</v>
      </c>
      <c r="B254" s="15" t="s">
        <v>282</v>
      </c>
      <c r="C254" s="54">
        <v>77.900000000000006</v>
      </c>
      <c r="D254" s="16">
        <f t="shared" si="42"/>
        <v>179.17</v>
      </c>
      <c r="E254" s="16"/>
      <c r="F254" s="31"/>
      <c r="G254" s="16"/>
      <c r="H254" s="19"/>
      <c r="I254" s="16"/>
      <c r="J254" s="20"/>
      <c r="K254" s="16"/>
      <c r="L254" s="21"/>
      <c r="M254" s="22">
        <v>400</v>
      </c>
      <c r="N254" s="22">
        <v>1210</v>
      </c>
      <c r="O254" s="22">
        <v>560</v>
      </c>
      <c r="P254" s="14" t="s">
        <v>512</v>
      </c>
      <c r="Q254" s="14" t="s">
        <v>432</v>
      </c>
      <c r="R254" s="14"/>
      <c r="S254" s="14"/>
      <c r="T254" s="14"/>
      <c r="U254" s="14"/>
      <c r="V254" s="14"/>
      <c r="W254" s="14"/>
      <c r="X254" s="14"/>
      <c r="Y254" s="14"/>
      <c r="Z254" s="14"/>
      <c r="AA254" s="16"/>
      <c r="AB254" s="16"/>
      <c r="AC254" s="14"/>
    </row>
    <row r="255" spans="1:29" x14ac:dyDescent="0.3">
      <c r="A255" s="14" t="s">
        <v>283</v>
      </c>
      <c r="B255" s="15" t="s">
        <v>284</v>
      </c>
      <c r="C255" s="54">
        <v>79</v>
      </c>
      <c r="D255" s="16">
        <f t="shared" si="42"/>
        <v>181.7</v>
      </c>
      <c r="E255" s="16"/>
      <c r="F255" s="31"/>
      <c r="G255" s="16"/>
      <c r="H255" s="19"/>
      <c r="I255" s="16"/>
      <c r="J255" s="20"/>
      <c r="K255" s="16"/>
      <c r="L255" s="21"/>
      <c r="M255" s="22">
        <v>450</v>
      </c>
      <c r="N255" s="22">
        <v>1210</v>
      </c>
      <c r="O255" s="22">
        <v>560</v>
      </c>
      <c r="P255" s="14" t="s">
        <v>512</v>
      </c>
      <c r="Q255" s="14" t="s">
        <v>432</v>
      </c>
      <c r="R255" s="14"/>
      <c r="S255" s="14"/>
      <c r="T255" s="14"/>
      <c r="U255" s="14"/>
      <c r="V255" s="14"/>
      <c r="W255" s="14"/>
      <c r="X255" s="14"/>
      <c r="Y255" s="14"/>
      <c r="Z255" s="14"/>
      <c r="AA255" s="16"/>
      <c r="AB255" s="16"/>
      <c r="AC255" s="14"/>
    </row>
    <row r="256" spans="1:29" x14ac:dyDescent="0.3">
      <c r="A256" s="14" t="s">
        <v>285</v>
      </c>
      <c r="B256" s="15" t="s">
        <v>286</v>
      </c>
      <c r="C256" s="54">
        <v>80.099999999999994</v>
      </c>
      <c r="D256" s="16">
        <f t="shared" si="42"/>
        <v>184.22999999999996</v>
      </c>
      <c r="E256" s="16"/>
      <c r="F256" s="31"/>
      <c r="G256" s="16"/>
      <c r="H256" s="19"/>
      <c r="I256" s="16"/>
      <c r="J256" s="20"/>
      <c r="K256" s="16"/>
      <c r="L256" s="21"/>
      <c r="M256" s="22">
        <v>500</v>
      </c>
      <c r="N256" s="22">
        <v>1210</v>
      </c>
      <c r="O256" s="22">
        <v>560</v>
      </c>
      <c r="P256" s="14" t="s">
        <v>512</v>
      </c>
      <c r="Q256" s="14" t="s">
        <v>432</v>
      </c>
      <c r="R256" s="14"/>
      <c r="S256" s="14"/>
      <c r="T256" s="14"/>
      <c r="U256" s="14"/>
      <c r="V256" s="14"/>
      <c r="W256" s="14"/>
      <c r="X256" s="14"/>
      <c r="Y256" s="14"/>
      <c r="Z256" s="14"/>
      <c r="AA256" s="16"/>
      <c r="AB256" s="16"/>
      <c r="AC256" s="14"/>
    </row>
    <row r="257" spans="1:29" x14ac:dyDescent="0.3">
      <c r="A257" s="14" t="s">
        <v>287</v>
      </c>
      <c r="B257" s="15" t="s">
        <v>288</v>
      </c>
      <c r="C257" s="54">
        <v>81.2</v>
      </c>
      <c r="D257" s="16">
        <f t="shared" si="42"/>
        <v>186.76</v>
      </c>
      <c r="E257" s="16"/>
      <c r="F257" s="31"/>
      <c r="G257" s="16"/>
      <c r="H257" s="19"/>
      <c r="I257" s="16"/>
      <c r="J257" s="20"/>
      <c r="K257" s="16"/>
      <c r="L257" s="21"/>
      <c r="M257" s="22">
        <v>600</v>
      </c>
      <c r="N257" s="22">
        <v>1210</v>
      </c>
      <c r="O257" s="22">
        <v>560</v>
      </c>
      <c r="P257" s="14" t="s">
        <v>512</v>
      </c>
      <c r="Q257" s="14" t="s">
        <v>432</v>
      </c>
      <c r="R257" s="14"/>
      <c r="S257" s="14"/>
      <c r="T257" s="14"/>
      <c r="U257" s="14"/>
      <c r="V257" s="14"/>
      <c r="W257" s="14"/>
      <c r="X257" s="14"/>
      <c r="Y257" s="14"/>
      <c r="Z257" s="14"/>
      <c r="AA257" s="16"/>
      <c r="AB257" s="16"/>
      <c r="AC257" s="14"/>
    </row>
    <row r="258" spans="1:29" x14ac:dyDescent="0.3">
      <c r="A258" s="14"/>
      <c r="B258" s="25" t="s">
        <v>289</v>
      </c>
      <c r="C258" s="54"/>
      <c r="D258" s="16"/>
      <c r="E258" s="16"/>
      <c r="F258" s="31"/>
      <c r="G258" s="16"/>
      <c r="H258" s="19"/>
      <c r="I258" s="16"/>
      <c r="J258" s="20"/>
      <c r="K258" s="16"/>
      <c r="L258" s="21"/>
      <c r="M258" s="22"/>
      <c r="N258" s="22"/>
      <c r="O258" s="22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6"/>
      <c r="AB258" s="16"/>
      <c r="AC258" s="14"/>
    </row>
    <row r="259" spans="1:29" x14ac:dyDescent="0.3">
      <c r="A259" s="14"/>
      <c r="B259" s="15"/>
      <c r="C259" s="54"/>
      <c r="D259" s="16"/>
      <c r="E259" s="16"/>
      <c r="F259" s="31"/>
      <c r="G259" s="16"/>
      <c r="H259" s="19"/>
      <c r="I259" s="16"/>
      <c r="J259" s="20"/>
      <c r="K259" s="16"/>
      <c r="L259" s="21"/>
      <c r="M259" s="22"/>
      <c r="N259" s="22"/>
      <c r="O259" s="22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6"/>
      <c r="AB259" s="16"/>
      <c r="AC259" s="14"/>
    </row>
    <row r="260" spans="1:29" x14ac:dyDescent="0.3">
      <c r="A260" s="14"/>
      <c r="B260" s="15"/>
      <c r="C260" s="54"/>
      <c r="D260" s="16"/>
      <c r="E260" s="16"/>
      <c r="F260" s="31"/>
      <c r="G260" s="16"/>
      <c r="H260" s="19"/>
      <c r="I260" s="16"/>
      <c r="J260" s="20"/>
      <c r="K260" s="16"/>
      <c r="L260" s="21"/>
      <c r="M260" s="22"/>
      <c r="N260" s="22"/>
      <c r="O260" s="22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spans="1:29" x14ac:dyDescent="0.3">
      <c r="A261" s="14" t="s">
        <v>290</v>
      </c>
      <c r="B261" s="15" t="s">
        <v>291</v>
      </c>
      <c r="C261" s="54">
        <v>79</v>
      </c>
      <c r="D261" s="16">
        <f t="shared" ref="D261:D265" si="43">PRODUCT(C261,$D$1)</f>
        <v>181.7</v>
      </c>
      <c r="E261" s="16"/>
      <c r="F261" s="31"/>
      <c r="G261" s="16"/>
      <c r="H261" s="19"/>
      <c r="I261" s="16"/>
      <c r="J261" s="20"/>
      <c r="K261" s="16"/>
      <c r="L261" s="21"/>
      <c r="M261" s="22">
        <v>300</v>
      </c>
      <c r="N261" s="22">
        <v>1390</v>
      </c>
      <c r="O261" s="22">
        <v>560</v>
      </c>
      <c r="P261" s="14" t="s">
        <v>512</v>
      </c>
      <c r="Q261" s="14" t="s">
        <v>433</v>
      </c>
      <c r="R261" s="14"/>
      <c r="S261" s="14"/>
      <c r="T261" s="14"/>
      <c r="U261" s="14"/>
      <c r="V261" s="14"/>
      <c r="W261" s="14"/>
      <c r="X261" s="14"/>
      <c r="Y261" s="14"/>
      <c r="Z261" s="14"/>
      <c r="AA261" s="16"/>
      <c r="AB261" s="14"/>
      <c r="AC261" s="14"/>
    </row>
    <row r="262" spans="1:29" x14ac:dyDescent="0.3">
      <c r="A262" s="14" t="s">
        <v>292</v>
      </c>
      <c r="B262" s="15" t="s">
        <v>293</v>
      </c>
      <c r="C262" s="54">
        <v>80.099999999999994</v>
      </c>
      <c r="D262" s="16">
        <f t="shared" si="43"/>
        <v>184.22999999999996</v>
      </c>
      <c r="E262" s="16"/>
      <c r="F262" s="31"/>
      <c r="G262" s="16"/>
      <c r="H262" s="19"/>
      <c r="I262" s="16"/>
      <c r="J262" s="20"/>
      <c r="K262" s="16"/>
      <c r="L262" s="21"/>
      <c r="M262" s="22">
        <v>400</v>
      </c>
      <c r="N262" s="22">
        <v>1390</v>
      </c>
      <c r="O262" s="22">
        <v>560</v>
      </c>
      <c r="P262" s="14" t="s">
        <v>512</v>
      </c>
      <c r="Q262" s="14" t="s">
        <v>433</v>
      </c>
      <c r="R262" s="14"/>
      <c r="S262" s="14"/>
      <c r="T262" s="14"/>
      <c r="U262" s="14"/>
      <c r="V262" s="14"/>
      <c r="W262" s="14"/>
      <c r="X262" s="14"/>
      <c r="Y262" s="14"/>
      <c r="Z262" s="14"/>
      <c r="AA262" s="16"/>
      <c r="AB262" s="14"/>
      <c r="AC262" s="14"/>
    </row>
    <row r="263" spans="1:29" x14ac:dyDescent="0.3">
      <c r="A263" s="14" t="s">
        <v>294</v>
      </c>
      <c r="B263" s="15" t="s">
        <v>295</v>
      </c>
      <c r="C263" s="54">
        <v>81.2</v>
      </c>
      <c r="D263" s="16">
        <f t="shared" si="43"/>
        <v>186.76</v>
      </c>
      <c r="E263" s="16"/>
      <c r="F263" s="31"/>
      <c r="G263" s="16"/>
      <c r="H263" s="19"/>
      <c r="I263" s="16"/>
      <c r="J263" s="20"/>
      <c r="K263" s="16"/>
      <c r="L263" s="21"/>
      <c r="M263" s="22">
        <v>450</v>
      </c>
      <c r="N263" s="22">
        <v>1390</v>
      </c>
      <c r="O263" s="22">
        <v>560</v>
      </c>
      <c r="P263" s="14" t="s">
        <v>512</v>
      </c>
      <c r="Q263" s="14" t="s">
        <v>433</v>
      </c>
      <c r="R263" s="14"/>
      <c r="S263" s="14"/>
      <c r="T263" s="14"/>
      <c r="U263" s="14"/>
      <c r="V263" s="14"/>
      <c r="W263" s="14"/>
      <c r="X263" s="14"/>
      <c r="Y263" s="14"/>
      <c r="Z263" s="14"/>
      <c r="AA263" s="16"/>
      <c r="AB263" s="14"/>
      <c r="AC263" s="14"/>
    </row>
    <row r="264" spans="1:29" x14ac:dyDescent="0.3">
      <c r="A264" s="14" t="s">
        <v>296</v>
      </c>
      <c r="B264" s="15" t="s">
        <v>297</v>
      </c>
      <c r="C264" s="54">
        <v>82.3</v>
      </c>
      <c r="D264" s="16">
        <f t="shared" si="43"/>
        <v>189.29</v>
      </c>
      <c r="E264" s="16"/>
      <c r="F264" s="31"/>
      <c r="G264" s="16"/>
      <c r="H264" s="19"/>
      <c r="I264" s="16"/>
      <c r="J264" s="20"/>
      <c r="K264" s="16"/>
      <c r="L264" s="21"/>
      <c r="M264" s="22">
        <v>500</v>
      </c>
      <c r="N264" s="22">
        <v>1390</v>
      </c>
      <c r="O264" s="22">
        <v>560</v>
      </c>
      <c r="P264" s="14" t="s">
        <v>512</v>
      </c>
      <c r="Q264" s="14" t="s">
        <v>433</v>
      </c>
      <c r="R264" s="14"/>
      <c r="S264" s="14"/>
      <c r="T264" s="14"/>
      <c r="U264" s="14"/>
      <c r="V264" s="14"/>
      <c r="W264" s="14"/>
      <c r="X264" s="14"/>
      <c r="Y264" s="14"/>
      <c r="Z264" s="14"/>
      <c r="AA264" s="16"/>
      <c r="AB264" s="14"/>
      <c r="AC264" s="14"/>
    </row>
    <row r="265" spans="1:29" x14ac:dyDescent="0.3">
      <c r="A265" s="14" t="s">
        <v>298</v>
      </c>
      <c r="B265" s="15" t="s">
        <v>299</v>
      </c>
      <c r="C265" s="54">
        <v>83.4</v>
      </c>
      <c r="D265" s="16">
        <f t="shared" si="43"/>
        <v>191.82</v>
      </c>
      <c r="E265" s="16"/>
      <c r="F265" s="31"/>
      <c r="G265" s="16"/>
      <c r="H265" s="19"/>
      <c r="I265" s="16"/>
      <c r="J265" s="20"/>
      <c r="K265" s="16"/>
      <c r="L265" s="21"/>
      <c r="M265" s="22">
        <v>600</v>
      </c>
      <c r="N265" s="22">
        <v>1390</v>
      </c>
      <c r="O265" s="22">
        <v>560</v>
      </c>
      <c r="P265" s="14" t="s">
        <v>512</v>
      </c>
      <c r="Q265" s="14" t="s">
        <v>433</v>
      </c>
      <c r="R265" s="14"/>
      <c r="S265" s="14"/>
      <c r="T265" s="14"/>
      <c r="U265" s="14"/>
      <c r="V265" s="14"/>
      <c r="W265" s="14"/>
      <c r="X265" s="14"/>
      <c r="Y265" s="14"/>
      <c r="Z265" s="14"/>
      <c r="AA265" s="16"/>
      <c r="AB265" s="14"/>
      <c r="AC265" s="14"/>
    </row>
    <row r="266" spans="1:29" x14ac:dyDescent="0.3">
      <c r="A266" s="14"/>
      <c r="B266" s="25" t="s">
        <v>300</v>
      </c>
      <c r="C266" s="54"/>
      <c r="D266" s="16"/>
      <c r="E266" s="16"/>
      <c r="F266" s="31"/>
      <c r="G266" s="16"/>
      <c r="H266" s="19"/>
      <c r="I266" s="16"/>
      <c r="J266" s="20"/>
      <c r="K266" s="16"/>
      <c r="L266" s="21"/>
      <c r="M266" s="22"/>
      <c r="N266" s="22"/>
      <c r="O266" s="22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spans="1:29" x14ac:dyDescent="0.3">
      <c r="A267" s="14"/>
      <c r="B267" s="15"/>
      <c r="C267" s="54"/>
      <c r="D267" s="16"/>
      <c r="E267" s="16"/>
      <c r="F267" s="31"/>
      <c r="G267" s="16"/>
      <c r="H267" s="19"/>
      <c r="I267" s="16"/>
      <c r="J267" s="20"/>
      <c r="K267" s="16"/>
      <c r="L267" s="21"/>
      <c r="M267" s="22"/>
      <c r="N267" s="22"/>
      <c r="O267" s="22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spans="1:29" x14ac:dyDescent="0.3">
      <c r="A268" s="14" t="s">
        <v>490</v>
      </c>
      <c r="B268" s="15" t="s">
        <v>502</v>
      </c>
      <c r="C268" s="54">
        <v>37.4</v>
      </c>
      <c r="D268" s="16">
        <f t="shared" ref="D268:D276" si="44">PRODUCT(C268,$D$1)</f>
        <v>86.02</v>
      </c>
      <c r="E268" s="16"/>
      <c r="F268" s="31"/>
      <c r="G268" s="16"/>
      <c r="H268" s="19"/>
      <c r="I268" s="16"/>
      <c r="J268" s="20"/>
      <c r="K268" s="16"/>
      <c r="L268" s="21"/>
      <c r="M268" s="22">
        <v>500</v>
      </c>
      <c r="N268" s="22">
        <v>720</v>
      </c>
      <c r="O268" s="22">
        <v>330</v>
      </c>
      <c r="P268" s="14" t="s">
        <v>410</v>
      </c>
      <c r="Q268" s="14" t="s">
        <v>465</v>
      </c>
      <c r="R268" s="14">
        <v>2</v>
      </c>
      <c r="S268" s="14">
        <v>715</v>
      </c>
      <c r="T268" s="14">
        <v>295</v>
      </c>
      <c r="U268" s="14"/>
      <c r="V268" s="14"/>
      <c r="W268" s="14"/>
      <c r="X268" s="14"/>
      <c r="Y268" s="14"/>
      <c r="Z268" s="14"/>
      <c r="AA268" s="14"/>
      <c r="AB268" s="14"/>
      <c r="AC268" s="14"/>
    </row>
    <row r="269" spans="1:29" x14ac:dyDescent="0.3">
      <c r="A269" s="14" t="s">
        <v>491</v>
      </c>
      <c r="B269" s="15" t="s">
        <v>503</v>
      </c>
      <c r="C269" s="54">
        <v>38.5</v>
      </c>
      <c r="D269" s="16">
        <f t="shared" si="44"/>
        <v>88.55</v>
      </c>
      <c r="E269" s="16"/>
      <c r="F269" s="31"/>
      <c r="G269" s="16"/>
      <c r="H269" s="19"/>
      <c r="I269" s="16"/>
      <c r="J269" s="20"/>
      <c r="K269" s="16"/>
      <c r="L269" s="21"/>
      <c r="M269" s="22">
        <v>600</v>
      </c>
      <c r="N269" s="22">
        <v>720</v>
      </c>
      <c r="O269" s="22">
        <v>330</v>
      </c>
      <c r="P269" s="14" t="s">
        <v>410</v>
      </c>
      <c r="Q269" s="14" t="s">
        <v>465</v>
      </c>
      <c r="R269" s="14">
        <v>2</v>
      </c>
      <c r="S269" s="14">
        <v>715</v>
      </c>
      <c r="T269" s="14">
        <v>395</v>
      </c>
      <c r="U269" s="14"/>
      <c r="V269" s="14"/>
      <c r="W269" s="14"/>
      <c r="X269" s="14"/>
      <c r="Y269" s="14"/>
      <c r="Z269" s="14"/>
      <c r="AA269" s="14"/>
      <c r="AB269" s="14"/>
      <c r="AC269" s="14"/>
    </row>
    <row r="270" spans="1:29" x14ac:dyDescent="0.3">
      <c r="A270" s="14" t="s">
        <v>492</v>
      </c>
      <c r="B270" s="15" t="s">
        <v>504</v>
      </c>
      <c r="C270" s="54">
        <v>39.6</v>
      </c>
      <c r="D270" s="16">
        <f t="shared" si="44"/>
        <v>91.08</v>
      </c>
      <c r="E270" s="16"/>
      <c r="F270" s="31"/>
      <c r="G270" s="16"/>
      <c r="H270" s="19"/>
      <c r="I270" s="16"/>
      <c r="J270" s="20"/>
      <c r="K270" s="16"/>
      <c r="L270" s="21"/>
      <c r="M270" s="22">
        <v>800</v>
      </c>
      <c r="N270" s="22">
        <v>720</v>
      </c>
      <c r="O270" s="22">
        <v>330</v>
      </c>
      <c r="P270" s="14" t="s">
        <v>410</v>
      </c>
      <c r="Q270" s="14" t="s">
        <v>465</v>
      </c>
      <c r="R270" s="14">
        <v>2</v>
      </c>
      <c r="S270" s="14">
        <v>715</v>
      </c>
      <c r="T270" s="14">
        <v>445</v>
      </c>
      <c r="U270" s="14"/>
      <c r="V270" s="14"/>
      <c r="W270" s="14"/>
      <c r="X270" s="14"/>
      <c r="Y270" s="14"/>
      <c r="Z270" s="14"/>
      <c r="AA270" s="14"/>
      <c r="AB270" s="14"/>
      <c r="AC270" s="14"/>
    </row>
    <row r="271" spans="1:29" x14ac:dyDescent="0.3">
      <c r="A271" s="14" t="s">
        <v>484</v>
      </c>
      <c r="B271" s="15" t="s">
        <v>489</v>
      </c>
      <c r="C271" s="54">
        <v>41.8</v>
      </c>
      <c r="D271" s="16">
        <f t="shared" si="44"/>
        <v>96.139999999999986</v>
      </c>
      <c r="E271" s="16"/>
      <c r="F271" s="31"/>
      <c r="G271" s="16"/>
      <c r="H271" s="19"/>
      <c r="I271" s="16"/>
      <c r="J271" s="20"/>
      <c r="K271" s="16"/>
      <c r="L271" s="21"/>
      <c r="M271" s="22">
        <v>1000</v>
      </c>
      <c r="N271" s="22">
        <v>720</v>
      </c>
      <c r="O271" s="22">
        <v>330</v>
      </c>
      <c r="P271" s="14" t="s">
        <v>410</v>
      </c>
      <c r="Q271" s="14" t="s">
        <v>465</v>
      </c>
      <c r="R271" s="14">
        <v>2</v>
      </c>
      <c r="S271" s="14">
        <v>715</v>
      </c>
      <c r="T271" s="14">
        <v>495</v>
      </c>
      <c r="U271" s="14"/>
      <c r="V271" s="14"/>
      <c r="W271" s="14"/>
      <c r="X271" s="14"/>
      <c r="Y271" s="14"/>
      <c r="Z271" s="14"/>
      <c r="AA271" s="14"/>
      <c r="AB271" s="14"/>
      <c r="AC271" s="14"/>
    </row>
    <row r="272" spans="1:29" x14ac:dyDescent="0.3">
      <c r="A272" s="14" t="s">
        <v>485</v>
      </c>
      <c r="B272" s="15" t="s">
        <v>505</v>
      </c>
      <c r="C272" s="54">
        <v>42.9</v>
      </c>
      <c r="D272" s="16">
        <f t="shared" si="44"/>
        <v>98.669999999999987</v>
      </c>
      <c r="E272" s="16"/>
      <c r="F272" s="31"/>
      <c r="G272" s="16"/>
      <c r="H272" s="19"/>
      <c r="I272" s="16"/>
      <c r="J272" s="20"/>
      <c r="K272" s="16"/>
      <c r="L272" s="21"/>
      <c r="M272" s="22">
        <v>500</v>
      </c>
      <c r="N272" s="22">
        <v>720</v>
      </c>
      <c r="O272" s="22">
        <v>330</v>
      </c>
      <c r="P272" s="14" t="s">
        <v>410</v>
      </c>
      <c r="Q272" s="14" t="s">
        <v>465</v>
      </c>
      <c r="R272" s="14">
        <v>2</v>
      </c>
      <c r="S272" s="14">
        <v>715</v>
      </c>
      <c r="T272" s="14">
        <v>595</v>
      </c>
      <c r="U272" s="14"/>
      <c r="V272" s="14"/>
      <c r="W272" s="14"/>
      <c r="X272" s="14"/>
      <c r="Y272" s="14"/>
      <c r="Z272" s="14"/>
      <c r="AA272" s="14"/>
      <c r="AB272" s="14"/>
      <c r="AC272" s="14"/>
    </row>
    <row r="273" spans="1:29" x14ac:dyDescent="0.3">
      <c r="A273" s="14" t="s">
        <v>486</v>
      </c>
      <c r="B273" s="15" t="s">
        <v>506</v>
      </c>
      <c r="C273" s="54">
        <v>47.3</v>
      </c>
      <c r="D273" s="16">
        <f t="shared" si="44"/>
        <v>108.78999999999999</v>
      </c>
      <c r="E273" s="16"/>
      <c r="F273" s="31"/>
      <c r="G273" s="16"/>
      <c r="H273" s="19"/>
      <c r="I273" s="16"/>
      <c r="J273" s="20"/>
      <c r="K273" s="16"/>
      <c r="L273" s="21"/>
      <c r="M273" s="22">
        <v>600</v>
      </c>
      <c r="N273" s="22">
        <v>720</v>
      </c>
      <c r="O273" s="22">
        <v>330</v>
      </c>
      <c r="P273" s="14" t="s">
        <v>410</v>
      </c>
      <c r="Q273" s="14" t="s">
        <v>465</v>
      </c>
      <c r="R273" s="14">
        <v>4</v>
      </c>
      <c r="S273" s="14">
        <v>715</v>
      </c>
      <c r="T273" s="14">
        <v>395</v>
      </c>
      <c r="U273" s="14"/>
      <c r="V273" s="14"/>
      <c r="W273" s="14"/>
      <c r="X273" s="14"/>
      <c r="Y273" s="14"/>
      <c r="Z273" s="14"/>
      <c r="AA273" s="14"/>
      <c r="AB273" s="14"/>
      <c r="AC273" s="14"/>
    </row>
    <row r="274" spans="1:29" x14ac:dyDescent="0.3">
      <c r="A274" s="14" t="s">
        <v>493</v>
      </c>
      <c r="B274" s="15" t="s">
        <v>507</v>
      </c>
      <c r="C274" s="54">
        <v>48.4</v>
      </c>
      <c r="D274" s="16">
        <f t="shared" si="44"/>
        <v>111.32</v>
      </c>
      <c r="E274" s="16"/>
      <c r="F274" s="31"/>
      <c r="G274" s="16"/>
      <c r="H274" s="19"/>
      <c r="I274" s="16"/>
      <c r="J274" s="20"/>
      <c r="K274" s="16"/>
      <c r="L274" s="21"/>
      <c r="M274" s="22">
        <v>800</v>
      </c>
      <c r="N274" s="22">
        <v>720</v>
      </c>
      <c r="O274" s="22">
        <v>330</v>
      </c>
      <c r="P274" s="14" t="s">
        <v>410</v>
      </c>
      <c r="Q274" s="14" t="s">
        <v>465</v>
      </c>
      <c r="R274" s="14">
        <v>4</v>
      </c>
      <c r="S274" s="14">
        <v>715</v>
      </c>
      <c r="T274" s="14">
        <v>445</v>
      </c>
      <c r="U274" s="14"/>
      <c r="V274" s="14"/>
      <c r="W274" s="14"/>
      <c r="X274" s="14"/>
      <c r="Y274" s="14"/>
      <c r="Z274" s="14"/>
      <c r="AA274" s="14"/>
      <c r="AB274" s="14"/>
      <c r="AC274" s="14"/>
    </row>
    <row r="275" spans="1:29" x14ac:dyDescent="0.3">
      <c r="A275" s="14" t="s">
        <v>487</v>
      </c>
      <c r="B275" s="15" t="s">
        <v>508</v>
      </c>
      <c r="C275" s="54">
        <v>49.5</v>
      </c>
      <c r="D275" s="16">
        <f t="shared" si="44"/>
        <v>113.85</v>
      </c>
      <c r="E275" s="16"/>
      <c r="F275" s="31"/>
      <c r="G275" s="16"/>
      <c r="H275" s="19"/>
      <c r="I275" s="16"/>
      <c r="J275" s="20"/>
      <c r="K275" s="16"/>
      <c r="L275" s="21"/>
      <c r="M275" s="22">
        <v>1000</v>
      </c>
      <c r="N275" s="22">
        <v>720</v>
      </c>
      <c r="O275" s="22">
        <v>330</v>
      </c>
      <c r="P275" s="14" t="s">
        <v>410</v>
      </c>
      <c r="Q275" s="14" t="s">
        <v>465</v>
      </c>
      <c r="R275" s="14">
        <v>4</v>
      </c>
      <c r="S275" s="14">
        <v>715</v>
      </c>
      <c r="T275" s="14">
        <v>495</v>
      </c>
      <c r="U275" s="14"/>
      <c r="V275" s="14"/>
      <c r="W275" s="14"/>
      <c r="X275" s="14"/>
      <c r="Y275" s="14"/>
      <c r="Z275" s="14"/>
      <c r="AA275" s="14"/>
      <c r="AB275" s="14"/>
      <c r="AC275" s="14"/>
    </row>
    <row r="276" spans="1:29" x14ac:dyDescent="0.3">
      <c r="A276" s="14" t="s">
        <v>488</v>
      </c>
      <c r="B276" s="15" t="s">
        <v>509</v>
      </c>
      <c r="C276" s="54">
        <v>51.7</v>
      </c>
      <c r="D276" s="16">
        <f t="shared" si="44"/>
        <v>118.91</v>
      </c>
      <c r="E276" s="16"/>
      <c r="F276" s="31"/>
      <c r="G276" s="16"/>
      <c r="H276" s="19"/>
      <c r="I276" s="16"/>
      <c r="J276" s="20"/>
      <c r="K276" s="16"/>
      <c r="L276" s="21"/>
      <c r="M276" s="22">
        <v>1200</v>
      </c>
      <c r="N276" s="22">
        <v>720</v>
      </c>
      <c r="O276" s="22">
        <v>330</v>
      </c>
      <c r="P276" s="14" t="s">
        <v>410</v>
      </c>
      <c r="Q276" s="14" t="s">
        <v>465</v>
      </c>
      <c r="R276" s="14">
        <v>4</v>
      </c>
      <c r="S276" s="14">
        <v>715</v>
      </c>
      <c r="T276" s="14">
        <v>595</v>
      </c>
      <c r="U276" s="14"/>
      <c r="V276" s="14"/>
      <c r="W276" s="14"/>
      <c r="X276" s="14"/>
      <c r="Y276" s="14"/>
      <c r="Z276" s="14"/>
      <c r="AA276" s="14"/>
      <c r="AB276" s="14"/>
      <c r="AC276" s="14"/>
    </row>
    <row r="277" spans="1:29" x14ac:dyDescent="0.3">
      <c r="A277" s="14"/>
      <c r="B277" s="15"/>
      <c r="C277" s="54"/>
      <c r="D277" s="16"/>
      <c r="E277" s="16"/>
      <c r="F277" s="31"/>
      <c r="G277" s="16"/>
      <c r="H277" s="19"/>
      <c r="I277" s="16"/>
      <c r="J277" s="20"/>
      <c r="K277" s="16"/>
      <c r="L277" s="21"/>
      <c r="M277" s="22"/>
      <c r="N277" s="22"/>
      <c r="O277" s="22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spans="1:29" x14ac:dyDescent="0.3">
      <c r="A278" s="14" t="s">
        <v>301</v>
      </c>
      <c r="B278" s="15" t="s">
        <v>302</v>
      </c>
      <c r="C278" s="54">
        <v>30.8</v>
      </c>
      <c r="D278" s="16">
        <f t="shared" ref="D278:D282" si="45">PRODUCT(C278,$D$1)</f>
        <v>70.839999999999989</v>
      </c>
      <c r="E278" s="16"/>
      <c r="F278" s="31"/>
      <c r="G278" s="16"/>
      <c r="H278" s="19"/>
      <c r="I278" s="16"/>
      <c r="J278" s="20"/>
      <c r="K278" s="16"/>
      <c r="L278" s="21"/>
      <c r="M278" s="22">
        <v>500</v>
      </c>
      <c r="N278" s="22">
        <v>720</v>
      </c>
      <c r="O278" s="22">
        <v>330</v>
      </c>
      <c r="P278" s="14" t="s">
        <v>458</v>
      </c>
      <c r="Q278" s="14" t="s">
        <v>465</v>
      </c>
      <c r="R278" s="14">
        <v>2</v>
      </c>
      <c r="S278" s="14">
        <v>715</v>
      </c>
      <c r="T278" s="14">
        <v>495</v>
      </c>
      <c r="U278" s="14"/>
      <c r="V278" s="14"/>
      <c r="W278" s="14"/>
      <c r="X278" s="14"/>
      <c r="Y278" s="14"/>
      <c r="Z278" s="14"/>
      <c r="AA278" s="14"/>
      <c r="AB278" s="14"/>
      <c r="AC278" s="14"/>
    </row>
    <row r="279" spans="1:29" x14ac:dyDescent="0.3">
      <c r="A279" s="14" t="s">
        <v>303</v>
      </c>
      <c r="B279" s="15" t="s">
        <v>304</v>
      </c>
      <c r="C279" s="54">
        <v>31.9</v>
      </c>
      <c r="D279" s="16">
        <f t="shared" si="45"/>
        <v>73.36999999999999</v>
      </c>
      <c r="E279" s="16"/>
      <c r="F279" s="31"/>
      <c r="G279" s="16"/>
      <c r="H279" s="19"/>
      <c r="I279" s="16"/>
      <c r="J279" s="20"/>
      <c r="K279" s="16"/>
      <c r="L279" s="21"/>
      <c r="M279" s="22">
        <v>600</v>
      </c>
      <c r="N279" s="22">
        <v>720</v>
      </c>
      <c r="O279" s="22">
        <v>330</v>
      </c>
      <c r="P279" s="14" t="s">
        <v>458</v>
      </c>
      <c r="Q279" s="14" t="s">
        <v>465</v>
      </c>
      <c r="R279" s="14">
        <v>2</v>
      </c>
      <c r="S279" s="14">
        <v>715</v>
      </c>
      <c r="T279" s="14">
        <v>595</v>
      </c>
      <c r="U279" s="14"/>
      <c r="V279" s="14"/>
      <c r="W279" s="14"/>
      <c r="X279" s="14"/>
      <c r="Y279" s="14"/>
      <c r="Z279" s="14"/>
      <c r="AA279" s="14"/>
      <c r="AB279" s="14"/>
      <c r="AC279" s="14"/>
    </row>
    <row r="280" spans="1:29" x14ac:dyDescent="0.3">
      <c r="A280" s="14" t="s">
        <v>305</v>
      </c>
      <c r="B280" s="15" t="s">
        <v>306</v>
      </c>
      <c r="C280" s="54">
        <v>37.4</v>
      </c>
      <c r="D280" s="16">
        <f t="shared" si="45"/>
        <v>86.02</v>
      </c>
      <c r="E280" s="16"/>
      <c r="F280" s="31"/>
      <c r="G280" s="16"/>
      <c r="H280" s="19"/>
      <c r="I280" s="16"/>
      <c r="J280" s="20"/>
      <c r="K280" s="16"/>
      <c r="L280" s="21"/>
      <c r="M280" s="22">
        <v>800</v>
      </c>
      <c r="N280" s="22">
        <v>720</v>
      </c>
      <c r="O280" s="22">
        <v>330</v>
      </c>
      <c r="P280" s="14" t="s">
        <v>458</v>
      </c>
      <c r="Q280" s="14" t="s">
        <v>465</v>
      </c>
      <c r="R280" s="14">
        <v>4</v>
      </c>
      <c r="S280" s="14">
        <v>715</v>
      </c>
      <c r="T280" s="14">
        <v>395</v>
      </c>
      <c r="U280" s="14"/>
      <c r="V280" s="14"/>
      <c r="W280" s="14"/>
      <c r="X280" s="14"/>
      <c r="Y280" s="14"/>
      <c r="Z280" s="14"/>
      <c r="AA280" s="14"/>
      <c r="AB280" s="14"/>
      <c r="AC280" s="14"/>
    </row>
    <row r="281" spans="1:29" x14ac:dyDescent="0.3">
      <c r="A281" s="14" t="s">
        <v>307</v>
      </c>
      <c r="B281" s="15" t="s">
        <v>308</v>
      </c>
      <c r="C281" s="54">
        <v>40.700000000000003</v>
      </c>
      <c r="D281" s="16">
        <f t="shared" si="45"/>
        <v>93.61</v>
      </c>
      <c r="E281" s="16"/>
      <c r="F281" s="31"/>
      <c r="G281" s="16"/>
      <c r="H281" s="19"/>
      <c r="I281" s="16"/>
      <c r="J281" s="20"/>
      <c r="K281" s="16"/>
      <c r="L281" s="21"/>
      <c r="M281" s="22">
        <v>1000</v>
      </c>
      <c r="N281" s="22">
        <v>720</v>
      </c>
      <c r="O281" s="22">
        <v>330</v>
      </c>
      <c r="P281" s="14" t="s">
        <v>458</v>
      </c>
      <c r="Q281" s="14" t="s">
        <v>465</v>
      </c>
      <c r="R281" s="14">
        <v>4</v>
      </c>
      <c r="S281" s="14">
        <v>715</v>
      </c>
      <c r="T281" s="14">
        <v>495</v>
      </c>
      <c r="U281" s="14"/>
      <c r="V281" s="14"/>
      <c r="W281" s="14"/>
      <c r="X281" s="14"/>
      <c r="Y281" s="14"/>
      <c r="Z281" s="14"/>
      <c r="AA281" s="14"/>
      <c r="AB281" s="14"/>
      <c r="AC281" s="14"/>
    </row>
    <row r="282" spans="1:29" x14ac:dyDescent="0.3">
      <c r="A282" s="14" t="s">
        <v>309</v>
      </c>
      <c r="B282" s="15" t="s">
        <v>310</v>
      </c>
      <c r="C282" s="54">
        <v>42.9</v>
      </c>
      <c r="D282" s="16">
        <f t="shared" si="45"/>
        <v>98.669999999999987</v>
      </c>
      <c r="E282" s="16"/>
      <c r="F282" s="31"/>
      <c r="G282" s="16"/>
      <c r="H282" s="19"/>
      <c r="I282" s="16"/>
      <c r="J282" s="20"/>
      <c r="K282" s="16"/>
      <c r="L282" s="21"/>
      <c r="M282" s="22">
        <v>1200</v>
      </c>
      <c r="N282" s="22">
        <v>720</v>
      </c>
      <c r="O282" s="22">
        <v>330</v>
      </c>
      <c r="P282" s="14" t="s">
        <v>458</v>
      </c>
      <c r="Q282" s="14" t="s">
        <v>465</v>
      </c>
      <c r="R282" s="14">
        <v>4</v>
      </c>
      <c r="S282" s="14">
        <v>715</v>
      </c>
      <c r="T282" s="14">
        <v>595</v>
      </c>
      <c r="U282" s="14"/>
      <c r="V282" s="14"/>
      <c r="W282" s="14"/>
      <c r="X282" s="14"/>
      <c r="Y282" s="14"/>
      <c r="Z282" s="14"/>
      <c r="AA282" s="14"/>
      <c r="AB282" s="14"/>
      <c r="AC282" s="14"/>
    </row>
    <row r="283" spans="1:29" x14ac:dyDescent="0.3">
      <c r="A283" s="14"/>
      <c r="B283" s="25" t="s">
        <v>311</v>
      </c>
      <c r="C283" s="54"/>
      <c r="D283" s="16"/>
      <c r="E283" s="16"/>
      <c r="F283" s="31"/>
      <c r="G283" s="16"/>
      <c r="H283" s="19"/>
      <c r="I283" s="16"/>
      <c r="J283" s="20"/>
      <c r="K283" s="16"/>
      <c r="L283" s="21"/>
      <c r="M283" s="22"/>
      <c r="N283" s="22"/>
      <c r="O283" s="22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spans="1:29" x14ac:dyDescent="0.3">
      <c r="A284" s="14"/>
      <c r="B284" s="15"/>
      <c r="C284" s="54"/>
      <c r="D284" s="16"/>
      <c r="E284" s="16"/>
      <c r="F284" s="31"/>
      <c r="G284" s="16"/>
      <c r="H284" s="19"/>
      <c r="I284" s="16"/>
      <c r="J284" s="20"/>
      <c r="K284" s="16"/>
      <c r="L284" s="21"/>
      <c r="M284" s="22"/>
      <c r="N284" s="22"/>
      <c r="O284" s="22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 spans="1:29" x14ac:dyDescent="0.3">
      <c r="A285" s="14"/>
      <c r="B285" s="15"/>
      <c r="C285" s="54"/>
      <c r="D285" s="16"/>
      <c r="E285" s="16"/>
      <c r="F285" s="31"/>
      <c r="G285" s="16"/>
      <c r="H285" s="19"/>
      <c r="I285" s="16"/>
      <c r="J285" s="20"/>
      <c r="K285" s="16"/>
      <c r="L285" s="21"/>
      <c r="M285" s="22"/>
      <c r="N285" s="22"/>
      <c r="O285" s="22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spans="1:29" x14ac:dyDescent="0.3">
      <c r="A286" s="14" t="s">
        <v>312</v>
      </c>
      <c r="B286" s="15" t="s">
        <v>313</v>
      </c>
      <c r="C286" s="54">
        <v>29.7</v>
      </c>
      <c r="D286" s="16">
        <f t="shared" ref="D286:D291" si="46">PRODUCT(C286,$D$1)</f>
        <v>68.309999999999988</v>
      </c>
      <c r="E286" s="16"/>
      <c r="F286" s="31"/>
      <c r="G286" s="16"/>
      <c r="H286" s="19"/>
      <c r="I286" s="16"/>
      <c r="J286" s="20"/>
      <c r="K286" s="16"/>
      <c r="L286" s="21"/>
      <c r="M286" s="22">
        <v>500</v>
      </c>
      <c r="N286" s="22"/>
      <c r="O286" s="22">
        <v>560</v>
      </c>
      <c r="P286" s="14" t="s">
        <v>466</v>
      </c>
      <c r="Q286" s="14" t="s">
        <v>435</v>
      </c>
      <c r="R286" s="14">
        <v>1</v>
      </c>
      <c r="S286" s="14"/>
      <c r="T286" s="14">
        <v>495</v>
      </c>
      <c r="U286" s="14"/>
      <c r="V286" s="14"/>
      <c r="W286" s="14"/>
      <c r="X286" s="14"/>
      <c r="Y286" s="14"/>
      <c r="Z286" s="14"/>
      <c r="AA286" s="14"/>
      <c r="AB286" s="14"/>
      <c r="AC286" s="14"/>
    </row>
    <row r="287" spans="1:29" x14ac:dyDescent="0.3">
      <c r="A287" s="14" t="s">
        <v>314</v>
      </c>
      <c r="B287" s="15" t="s">
        <v>315</v>
      </c>
      <c r="C287" s="54">
        <v>30.8</v>
      </c>
      <c r="D287" s="16">
        <f t="shared" si="46"/>
        <v>70.839999999999989</v>
      </c>
      <c r="E287" s="16"/>
      <c r="F287" s="31"/>
      <c r="G287" s="16"/>
      <c r="H287" s="19"/>
      <c r="I287" s="16"/>
      <c r="J287" s="20"/>
      <c r="K287" s="16"/>
      <c r="L287" s="21"/>
      <c r="M287" s="22">
        <v>600</v>
      </c>
      <c r="N287" s="22"/>
      <c r="O287" s="22">
        <v>560</v>
      </c>
      <c r="P287" s="14" t="s">
        <v>466</v>
      </c>
      <c r="Q287" s="14" t="s">
        <v>435</v>
      </c>
      <c r="R287" s="14">
        <v>1</v>
      </c>
      <c r="S287" s="14"/>
      <c r="T287" s="14">
        <v>595</v>
      </c>
      <c r="U287" s="14"/>
      <c r="V287" s="14"/>
      <c r="W287" s="14"/>
      <c r="X287" s="14"/>
      <c r="Y287" s="14"/>
      <c r="Z287" s="14"/>
      <c r="AA287" s="14"/>
      <c r="AB287" s="14"/>
      <c r="AC287" s="14"/>
    </row>
    <row r="288" spans="1:29" x14ac:dyDescent="0.3">
      <c r="A288" s="14" t="s">
        <v>316</v>
      </c>
      <c r="B288" s="15" t="s">
        <v>317</v>
      </c>
      <c r="C288" s="54">
        <v>30.8</v>
      </c>
      <c r="D288" s="16">
        <f t="shared" si="46"/>
        <v>70.839999999999989</v>
      </c>
      <c r="E288" s="16"/>
      <c r="F288" s="31"/>
      <c r="G288" s="16"/>
      <c r="H288" s="19"/>
      <c r="I288" s="16"/>
      <c r="J288" s="20"/>
      <c r="K288" s="16"/>
      <c r="L288" s="21"/>
      <c r="M288" s="22">
        <v>500</v>
      </c>
      <c r="N288" s="22"/>
      <c r="O288" s="22">
        <v>560</v>
      </c>
      <c r="P288" s="14" t="s">
        <v>466</v>
      </c>
      <c r="Q288" s="14" t="s">
        <v>432</v>
      </c>
      <c r="R288" s="14">
        <v>1</v>
      </c>
      <c r="S288" s="14"/>
      <c r="T288" s="14">
        <v>495</v>
      </c>
      <c r="U288" s="14"/>
      <c r="V288" s="14"/>
      <c r="W288" s="14"/>
      <c r="X288" s="14"/>
      <c r="Y288" s="14"/>
      <c r="Z288" s="14"/>
      <c r="AA288" s="14"/>
      <c r="AB288" s="14"/>
      <c r="AC288" s="14"/>
    </row>
    <row r="289" spans="1:29" x14ac:dyDescent="0.3">
      <c r="A289" s="14" t="s">
        <v>318</v>
      </c>
      <c r="B289" s="15" t="s">
        <v>319</v>
      </c>
      <c r="C289" s="54">
        <v>33</v>
      </c>
      <c r="D289" s="16">
        <f t="shared" si="46"/>
        <v>75.899999999999991</v>
      </c>
      <c r="E289" s="16"/>
      <c r="F289" s="31"/>
      <c r="G289" s="16"/>
      <c r="H289" s="19"/>
      <c r="I289" s="16"/>
      <c r="J289" s="20"/>
      <c r="K289" s="16"/>
      <c r="L289" s="21"/>
      <c r="M289" s="22">
        <v>600</v>
      </c>
      <c r="N289" s="22"/>
      <c r="O289" s="22">
        <v>560</v>
      </c>
      <c r="P289" s="14" t="s">
        <v>466</v>
      </c>
      <c r="Q289" s="14" t="s">
        <v>432</v>
      </c>
      <c r="R289" s="14">
        <v>1</v>
      </c>
      <c r="S289" s="14"/>
      <c r="T289" s="14">
        <v>595</v>
      </c>
      <c r="U289" s="14"/>
      <c r="V289" s="14"/>
      <c r="W289" s="14"/>
      <c r="X289" s="14"/>
      <c r="Y289" s="14"/>
      <c r="Z289" s="14"/>
      <c r="AA289" s="14"/>
      <c r="AB289" s="14"/>
      <c r="AC289" s="14"/>
    </row>
    <row r="290" spans="1:29" x14ac:dyDescent="0.3">
      <c r="A290" s="14" t="s">
        <v>320</v>
      </c>
      <c r="B290" s="15" t="s">
        <v>321</v>
      </c>
      <c r="C290" s="54">
        <v>34.1</v>
      </c>
      <c r="D290" s="16">
        <f t="shared" si="46"/>
        <v>78.429999999999993</v>
      </c>
      <c r="E290" s="16"/>
      <c r="F290" s="31"/>
      <c r="G290" s="16"/>
      <c r="H290" s="19"/>
      <c r="I290" s="16"/>
      <c r="J290" s="20"/>
      <c r="K290" s="16"/>
      <c r="L290" s="21"/>
      <c r="M290" s="22">
        <v>500</v>
      </c>
      <c r="N290" s="22"/>
      <c r="O290" s="22">
        <v>560</v>
      </c>
      <c r="P290" s="14" t="s">
        <v>466</v>
      </c>
      <c r="Q290" s="14" t="s">
        <v>433</v>
      </c>
      <c r="R290" s="14">
        <v>1</v>
      </c>
      <c r="S290" s="14"/>
      <c r="T290" s="14">
        <v>495</v>
      </c>
      <c r="U290" s="14"/>
      <c r="V290" s="14"/>
      <c r="W290" s="14"/>
      <c r="X290" s="14"/>
      <c r="Y290" s="14"/>
      <c r="Z290" s="14"/>
      <c r="AA290" s="14"/>
      <c r="AB290" s="14"/>
      <c r="AC290" s="14"/>
    </row>
    <row r="291" spans="1:29" x14ac:dyDescent="0.3">
      <c r="A291" s="14" t="s">
        <v>322</v>
      </c>
      <c r="B291" s="15" t="s">
        <v>323</v>
      </c>
      <c r="C291" s="54">
        <v>35.200000000000003</v>
      </c>
      <c r="D291" s="16">
        <f t="shared" si="46"/>
        <v>80.959999999999994</v>
      </c>
      <c r="E291" s="16"/>
      <c r="F291" s="31"/>
      <c r="G291" s="16"/>
      <c r="H291" s="19"/>
      <c r="I291" s="16"/>
      <c r="J291" s="20"/>
      <c r="K291" s="16"/>
      <c r="L291" s="21"/>
      <c r="M291" s="22">
        <v>600</v>
      </c>
      <c r="N291" s="22"/>
      <c r="O291" s="22">
        <v>560</v>
      </c>
      <c r="P291" s="14" t="s">
        <v>466</v>
      </c>
      <c r="Q291" s="14" t="s">
        <v>433</v>
      </c>
      <c r="R291" s="14">
        <v>1</v>
      </c>
      <c r="S291" s="14"/>
      <c r="T291" s="14">
        <v>595</v>
      </c>
      <c r="U291" s="14"/>
      <c r="V291" s="14"/>
      <c r="W291" s="14"/>
      <c r="X291" s="14"/>
      <c r="Y291" s="14"/>
      <c r="Z291" s="14"/>
      <c r="AA291" s="14"/>
      <c r="AB291" s="14"/>
      <c r="AC291" s="14"/>
    </row>
    <row r="292" spans="1:29" x14ac:dyDescent="0.3">
      <c r="A292" s="14"/>
      <c r="B292" s="15"/>
      <c r="C292" s="54"/>
      <c r="D292" s="16"/>
      <c r="E292" s="16"/>
      <c r="F292" s="31"/>
      <c r="G292" s="16"/>
      <c r="H292" s="19"/>
      <c r="I292" s="16"/>
      <c r="J292" s="20"/>
      <c r="K292" s="16"/>
      <c r="L292" s="21"/>
      <c r="M292" s="22"/>
      <c r="N292" s="22"/>
      <c r="O292" s="22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spans="1:29" x14ac:dyDescent="0.3">
      <c r="A293" s="14"/>
      <c r="B293" s="15"/>
      <c r="C293" s="54"/>
      <c r="D293" s="16"/>
      <c r="E293" s="16"/>
      <c r="F293" s="31"/>
      <c r="G293" s="16"/>
      <c r="H293" s="19"/>
      <c r="I293" s="16"/>
      <c r="J293" s="20"/>
      <c r="K293" s="16"/>
      <c r="L293" s="21"/>
      <c r="M293" s="22"/>
      <c r="N293" s="22"/>
      <c r="O293" s="22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spans="1:29" x14ac:dyDescent="0.3">
      <c r="A294" s="14" t="s">
        <v>324</v>
      </c>
      <c r="B294" s="15" t="s">
        <v>325</v>
      </c>
      <c r="C294" s="54">
        <v>34.1</v>
      </c>
      <c r="D294" s="16">
        <f t="shared" ref="D294:D297" si="47">PRODUCT(C294,$D$1)</f>
        <v>78.429999999999993</v>
      </c>
      <c r="E294" s="16"/>
      <c r="F294" s="31"/>
      <c r="G294" s="16"/>
      <c r="H294" s="19"/>
      <c r="I294" s="16"/>
      <c r="J294" s="20"/>
      <c r="K294" s="16"/>
      <c r="L294" s="21"/>
      <c r="M294" s="22"/>
      <c r="N294" s="22"/>
      <c r="O294" s="22"/>
      <c r="P294" s="14" t="s">
        <v>481</v>
      </c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spans="1:29" x14ac:dyDescent="0.3">
      <c r="A295" s="14" t="s">
        <v>326</v>
      </c>
      <c r="B295" s="15" t="s">
        <v>327</v>
      </c>
      <c r="C295" s="54">
        <v>34.1</v>
      </c>
      <c r="D295" s="16">
        <f t="shared" si="47"/>
        <v>78.429999999999993</v>
      </c>
      <c r="E295" s="16"/>
      <c r="F295" s="31"/>
      <c r="G295" s="16"/>
      <c r="H295" s="19"/>
      <c r="I295" s="16"/>
      <c r="J295" s="20"/>
      <c r="K295" s="16"/>
      <c r="L295" s="21"/>
      <c r="M295" s="22"/>
      <c r="N295" s="22"/>
      <c r="O295" s="22"/>
      <c r="P295" s="14" t="s">
        <v>481</v>
      </c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spans="1:29" x14ac:dyDescent="0.3">
      <c r="A296" s="14" t="s">
        <v>328</v>
      </c>
      <c r="B296" s="15" t="s">
        <v>329</v>
      </c>
      <c r="C296" s="54">
        <v>51.7</v>
      </c>
      <c r="D296" s="16">
        <f t="shared" si="47"/>
        <v>118.91</v>
      </c>
      <c r="E296" s="16"/>
      <c r="F296" s="31"/>
      <c r="G296" s="16"/>
      <c r="H296" s="19"/>
      <c r="I296" s="16"/>
      <c r="J296" s="20"/>
      <c r="K296" s="16"/>
      <c r="L296" s="21"/>
      <c r="M296" s="22"/>
      <c r="N296" s="22"/>
      <c r="O296" s="22"/>
      <c r="P296" s="14" t="s">
        <v>481</v>
      </c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spans="1:29" x14ac:dyDescent="0.3">
      <c r="A297" s="14" t="s">
        <v>330</v>
      </c>
      <c r="B297" s="15" t="s">
        <v>331</v>
      </c>
      <c r="C297" s="54">
        <v>74.8</v>
      </c>
      <c r="D297" s="16">
        <f t="shared" si="47"/>
        <v>172.04</v>
      </c>
      <c r="E297" s="16"/>
      <c r="F297" s="31"/>
      <c r="G297" s="16"/>
      <c r="H297" s="19"/>
      <c r="I297" s="16"/>
      <c r="J297" s="20"/>
      <c r="K297" s="16"/>
      <c r="L297" s="21"/>
      <c r="M297" s="22"/>
      <c r="N297" s="22"/>
      <c r="O297" s="22"/>
      <c r="P297" s="14" t="s">
        <v>481</v>
      </c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spans="1:29" x14ac:dyDescent="0.3">
      <c r="A298" s="14"/>
      <c r="B298" s="15"/>
      <c r="C298" s="76"/>
      <c r="D298" s="32"/>
      <c r="E298" s="32"/>
      <c r="F298" s="77"/>
      <c r="G298" s="32"/>
      <c r="H298" s="89"/>
      <c r="I298" s="32"/>
      <c r="J298" s="34"/>
      <c r="K298" s="32"/>
      <c r="L298" s="35"/>
      <c r="M298" s="36"/>
      <c r="N298" s="36"/>
      <c r="O298" s="36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spans="1:29" ht="15" thickBot="1" x14ac:dyDescent="0.35">
      <c r="A299" s="39"/>
      <c r="B299" s="82"/>
      <c r="C299" s="98"/>
      <c r="D299" s="99"/>
      <c r="E299" s="99"/>
      <c r="F299" s="83"/>
      <c r="G299" s="83"/>
      <c r="H299" s="83"/>
      <c r="I299" s="83"/>
      <c r="J299" s="83"/>
      <c r="K299" s="83"/>
      <c r="L299" s="83"/>
      <c r="M299" s="84"/>
      <c r="N299" s="84"/>
      <c r="O299" s="84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</row>
    <row r="300" spans="1:29" x14ac:dyDescent="0.3">
      <c r="B300" s="96" t="s">
        <v>567</v>
      </c>
      <c r="C300" s="100"/>
      <c r="D300" s="101"/>
      <c r="E300" s="102">
        <v>12.63</v>
      </c>
      <c r="F300" s="5"/>
      <c r="G300" s="5"/>
      <c r="H300" s="5"/>
      <c r="I300" s="5"/>
      <c r="J300" s="5"/>
      <c r="K300" s="5"/>
      <c r="L300" s="5"/>
      <c r="M300" s="1"/>
      <c r="N300" s="1"/>
      <c r="O300" s="3"/>
      <c r="R300" s="2"/>
      <c r="T300" s="2"/>
      <c r="U300" s="2"/>
      <c r="W300" s="2"/>
      <c r="X300" s="2"/>
    </row>
    <row r="301" spans="1:29" x14ac:dyDescent="0.3">
      <c r="B301" s="96" t="s">
        <v>568</v>
      </c>
      <c r="C301" s="100"/>
      <c r="D301" s="101"/>
      <c r="E301" s="102">
        <v>15.04</v>
      </c>
      <c r="F301" s="5"/>
      <c r="G301" s="5"/>
      <c r="H301" s="5"/>
      <c r="I301" s="5"/>
      <c r="J301" s="5"/>
      <c r="K301" s="5"/>
      <c r="L301" s="5"/>
      <c r="M301" s="1"/>
      <c r="N301" s="1"/>
      <c r="O301" s="3"/>
      <c r="R301" s="2"/>
      <c r="T301" s="2"/>
      <c r="U301" s="2"/>
      <c r="W301" s="2"/>
      <c r="X301" s="2"/>
    </row>
    <row r="302" spans="1:29" x14ac:dyDescent="0.3">
      <c r="B302" s="96" t="s">
        <v>569</v>
      </c>
      <c r="C302" s="103"/>
      <c r="D302" s="104"/>
      <c r="E302" s="102">
        <v>17.48</v>
      </c>
    </row>
    <row r="303" spans="1:29" x14ac:dyDescent="0.3">
      <c r="B303" s="96" t="s">
        <v>570</v>
      </c>
      <c r="C303" s="103"/>
      <c r="D303" s="104"/>
      <c r="E303" s="102">
        <v>22.28</v>
      </c>
    </row>
    <row r="304" spans="1:29" x14ac:dyDescent="0.3">
      <c r="B304" s="96" t="s">
        <v>571</v>
      </c>
      <c r="C304" s="103"/>
      <c r="D304" s="104"/>
      <c r="E304" s="102">
        <v>27.18</v>
      </c>
    </row>
    <row r="305" spans="2:5" x14ac:dyDescent="0.3">
      <c r="B305" s="96" t="s">
        <v>572</v>
      </c>
      <c r="C305" s="103"/>
      <c r="D305" s="104"/>
      <c r="E305" s="102">
        <v>28.19</v>
      </c>
    </row>
    <row r="306" spans="2:5" x14ac:dyDescent="0.3">
      <c r="B306" s="96"/>
      <c r="C306" s="103"/>
      <c r="D306" s="104"/>
      <c r="E306" s="102"/>
    </row>
    <row r="307" spans="2:5" x14ac:dyDescent="0.3">
      <c r="B307" s="96" t="s">
        <v>573</v>
      </c>
      <c r="C307" s="103"/>
      <c r="D307" s="104"/>
      <c r="E307" s="102">
        <v>10.96</v>
      </c>
    </row>
    <row r="308" spans="2:5" x14ac:dyDescent="0.3">
      <c r="B308" s="96" t="s">
        <v>574</v>
      </c>
      <c r="C308" s="103"/>
      <c r="D308" s="104"/>
      <c r="E308" s="102">
        <v>13.08</v>
      </c>
    </row>
    <row r="309" spans="2:5" x14ac:dyDescent="0.3">
      <c r="B309" s="96" t="s">
        <v>575</v>
      </c>
      <c r="C309" s="103"/>
      <c r="D309" s="104"/>
      <c r="E309" s="102">
        <v>15.21</v>
      </c>
    </row>
    <row r="310" spans="2:5" x14ac:dyDescent="0.3">
      <c r="B310" s="96" t="s">
        <v>576</v>
      </c>
      <c r="C310" s="103"/>
      <c r="D310" s="104"/>
      <c r="E310" s="102">
        <v>20.46</v>
      </c>
    </row>
    <row r="311" spans="2:5" x14ac:dyDescent="0.3">
      <c r="B311" s="96" t="s">
        <v>577</v>
      </c>
      <c r="C311" s="103"/>
      <c r="D311" s="104"/>
      <c r="E311" s="102">
        <v>24.74</v>
      </c>
    </row>
    <row r="312" spans="2:5" ht="15" thickBot="1" x14ac:dyDescent="0.35">
      <c r="B312" s="97" t="s">
        <v>578</v>
      </c>
      <c r="C312" s="103"/>
      <c r="D312" s="104"/>
      <c r="E312" s="102">
        <v>25.91</v>
      </c>
    </row>
    <row r="313" spans="2:5" x14ac:dyDescent="0.3">
      <c r="C313" s="103"/>
      <c r="D313" s="104"/>
      <c r="E313" s="104"/>
    </row>
    <row r="314" spans="2:5" x14ac:dyDescent="0.3">
      <c r="B314" s="96" t="s">
        <v>601</v>
      </c>
      <c r="C314" s="103"/>
      <c r="D314" s="104"/>
      <c r="E314" s="105">
        <v>9.52</v>
      </c>
    </row>
    <row r="315" spans="2:5" x14ac:dyDescent="0.3">
      <c r="B315" s="96" t="s">
        <v>607</v>
      </c>
      <c r="C315" s="103"/>
      <c r="D315" s="104"/>
      <c r="E315" s="105">
        <v>10.42</v>
      </c>
    </row>
    <row r="316" spans="2:5" x14ac:dyDescent="0.3">
      <c r="B316" s="96" t="s">
        <v>602</v>
      </c>
      <c r="C316" s="103"/>
      <c r="D316" s="104"/>
      <c r="E316" s="105">
        <v>11.35</v>
      </c>
    </row>
    <row r="317" spans="2:5" x14ac:dyDescent="0.3">
      <c r="B317" s="96" t="s">
        <v>603</v>
      </c>
      <c r="C317" s="103"/>
      <c r="D317" s="104"/>
      <c r="E317" s="105">
        <v>12.66</v>
      </c>
    </row>
    <row r="318" spans="2:5" x14ac:dyDescent="0.3">
      <c r="B318" s="96" t="s">
        <v>604</v>
      </c>
      <c r="C318" s="103"/>
      <c r="D318" s="104"/>
      <c r="E318" s="105">
        <v>17.8</v>
      </c>
    </row>
    <row r="319" spans="2:5" x14ac:dyDescent="0.3">
      <c r="B319" s="96" t="s">
        <v>605</v>
      </c>
      <c r="C319" s="103"/>
      <c r="D319" s="104"/>
      <c r="E319" s="105">
        <v>21.5</v>
      </c>
    </row>
    <row r="320" spans="2:5" ht="15" thickBot="1" x14ac:dyDescent="0.35">
      <c r="B320" s="97" t="s">
        <v>606</v>
      </c>
      <c r="C320" s="103"/>
      <c r="D320" s="104"/>
      <c r="E320" s="105">
        <v>21.5</v>
      </c>
    </row>
    <row r="321" spans="2:5" x14ac:dyDescent="0.3">
      <c r="C321" s="103"/>
      <c r="D321" s="104"/>
      <c r="E321" s="104"/>
    </row>
    <row r="322" spans="2:5" x14ac:dyDescent="0.3">
      <c r="B322" s="96" t="s">
        <v>615</v>
      </c>
      <c r="C322" s="103"/>
      <c r="D322" s="104"/>
      <c r="E322" s="105">
        <v>17.010000000000002</v>
      </c>
    </row>
    <row r="323" spans="2:5" x14ac:dyDescent="0.3">
      <c r="B323" s="96" t="s">
        <v>609</v>
      </c>
      <c r="C323" s="103"/>
      <c r="D323" s="104"/>
      <c r="E323" s="105">
        <v>17.010000000000002</v>
      </c>
    </row>
    <row r="324" spans="2:5" x14ac:dyDescent="0.3">
      <c r="B324" s="96" t="s">
        <v>610</v>
      </c>
      <c r="C324" s="103"/>
      <c r="D324" s="104"/>
      <c r="E324" s="105">
        <v>22.2</v>
      </c>
    </row>
    <row r="325" spans="2:5" x14ac:dyDescent="0.3">
      <c r="B325" s="96" t="s">
        <v>611</v>
      </c>
      <c r="C325" s="103"/>
      <c r="D325" s="104"/>
      <c r="E325" s="105">
        <v>22.9</v>
      </c>
    </row>
    <row r="326" spans="2:5" x14ac:dyDescent="0.3">
      <c r="B326" s="96" t="s">
        <v>612</v>
      </c>
      <c r="C326" s="103"/>
      <c r="D326" s="104"/>
      <c r="E326" s="105">
        <v>31.2</v>
      </c>
    </row>
    <row r="327" spans="2:5" x14ac:dyDescent="0.3">
      <c r="B327" s="96" t="s">
        <v>613</v>
      </c>
      <c r="C327" s="103"/>
      <c r="D327" s="104"/>
      <c r="E327" s="105">
        <v>39.020000000000003</v>
      </c>
    </row>
    <row r="328" spans="2:5" ht="15" thickBot="1" x14ac:dyDescent="0.35">
      <c r="B328" s="97" t="s">
        <v>614</v>
      </c>
      <c r="C328" s="103"/>
      <c r="D328" s="104"/>
      <c r="E328" s="105">
        <v>39.020000000000003</v>
      </c>
    </row>
    <row r="329" spans="2:5" x14ac:dyDescent="0.3">
      <c r="C329" s="103"/>
      <c r="D329" s="104"/>
      <c r="E329" s="105"/>
    </row>
    <row r="330" spans="2:5" x14ac:dyDescent="0.3">
      <c r="B330" s="96" t="s">
        <v>622</v>
      </c>
      <c r="C330" s="103"/>
      <c r="D330" s="104"/>
      <c r="E330" s="105">
        <v>13.98</v>
      </c>
    </row>
    <row r="331" spans="2:5" x14ac:dyDescent="0.3">
      <c r="B331" s="96" t="s">
        <v>617</v>
      </c>
      <c r="C331" s="103"/>
      <c r="D331" s="104"/>
      <c r="E331" s="105">
        <v>13.98</v>
      </c>
    </row>
    <row r="332" spans="2:5" x14ac:dyDescent="0.3">
      <c r="B332" s="96" t="s">
        <v>618</v>
      </c>
      <c r="C332" s="103"/>
      <c r="D332" s="104"/>
      <c r="E332" s="105">
        <v>16.47</v>
      </c>
    </row>
    <row r="333" spans="2:5" x14ac:dyDescent="0.3">
      <c r="B333" s="96" t="s">
        <v>619</v>
      </c>
      <c r="C333" s="103"/>
      <c r="D333" s="104"/>
      <c r="E333" s="105">
        <v>18.22</v>
      </c>
    </row>
    <row r="334" spans="2:5" x14ac:dyDescent="0.3">
      <c r="B334" s="96" t="s">
        <v>616</v>
      </c>
      <c r="C334" s="103"/>
      <c r="D334" s="104"/>
      <c r="E334" s="105">
        <v>24.24</v>
      </c>
    </row>
    <row r="335" spans="2:5" x14ac:dyDescent="0.3">
      <c r="B335" s="96" t="s">
        <v>620</v>
      </c>
      <c r="C335" s="103"/>
      <c r="D335" s="104"/>
      <c r="E335" s="105">
        <v>30.36</v>
      </c>
    </row>
    <row r="336" spans="2:5" ht="15" thickBot="1" x14ac:dyDescent="0.35">
      <c r="B336" s="97" t="s">
        <v>621</v>
      </c>
      <c r="C336" s="103"/>
      <c r="D336" s="104"/>
      <c r="E336" s="105">
        <v>30.36</v>
      </c>
    </row>
  </sheetData>
  <mergeCells count="1">
    <mergeCell ref="C2:D2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C81"/>
  <sheetViews>
    <sheetView zoomScale="80" zoomScaleNormal="80" workbookViewId="0">
      <pane ySplit="4" topLeftCell="A5" activePane="bottomLeft" state="frozen"/>
      <selection pane="bottomLeft" activeCell="F7" sqref="F7"/>
    </sheetView>
  </sheetViews>
  <sheetFormatPr defaultRowHeight="14.4" x14ac:dyDescent="0.3"/>
  <cols>
    <col min="1" max="1" width="11.44140625" bestFit="1" customWidth="1"/>
    <col min="2" max="2" width="62.88671875" bestFit="1" customWidth="1"/>
    <col min="3" max="4" width="12.33203125" style="6" bestFit="1" customWidth="1"/>
    <col min="5" max="5" width="15.5546875" style="60" customWidth="1"/>
    <col min="6" max="6" width="14.88671875" style="11" customWidth="1"/>
    <col min="7" max="7" width="13.5546875" style="65" customWidth="1"/>
    <col min="8" max="8" width="11.44140625" style="6" customWidth="1"/>
    <col min="9" max="9" width="11.44140625" style="65" customWidth="1"/>
    <col min="10" max="10" width="11.44140625" style="6" customWidth="1"/>
    <col min="11" max="11" width="9.6640625" style="65" customWidth="1"/>
    <col min="12" max="12" width="9.6640625" style="6" customWidth="1"/>
    <col min="16" max="16" width="15.33203125" bestFit="1" customWidth="1"/>
    <col min="17" max="17" width="13.33203125" bestFit="1" customWidth="1"/>
  </cols>
  <sheetData>
    <row r="2" spans="1:26" x14ac:dyDescent="0.3">
      <c r="C2" s="8"/>
      <c r="D2" s="8">
        <v>2.2999999999999998</v>
      </c>
      <c r="E2" s="52"/>
      <c r="F2" s="10"/>
      <c r="G2" s="9">
        <v>1.5</v>
      </c>
      <c r="H2" s="8"/>
      <c r="I2" s="9">
        <v>1.88</v>
      </c>
      <c r="J2" s="8"/>
      <c r="K2" s="9"/>
      <c r="L2" s="8"/>
      <c r="M2" s="8"/>
    </row>
    <row r="3" spans="1:26" ht="15" thickBot="1" x14ac:dyDescent="0.35">
      <c r="C3" s="110" t="s">
        <v>566</v>
      </c>
      <c r="D3" s="111"/>
      <c r="E3" s="52"/>
      <c r="F3" s="10"/>
      <c r="G3" s="9"/>
      <c r="H3" s="8"/>
      <c r="I3" s="9"/>
      <c r="J3" s="8"/>
      <c r="K3" s="9"/>
      <c r="L3" s="8"/>
      <c r="M3" s="8"/>
    </row>
    <row r="4" spans="1:26" s="75" customFormat="1" ht="45.15" customHeight="1" thickBot="1" x14ac:dyDescent="0.35">
      <c r="A4" s="67" t="s">
        <v>59</v>
      </c>
      <c r="B4" s="74"/>
      <c r="C4" s="68" t="s">
        <v>564</v>
      </c>
      <c r="D4" s="69" t="s">
        <v>565</v>
      </c>
      <c r="E4" s="70" t="s">
        <v>584</v>
      </c>
      <c r="F4" s="70" t="s">
        <v>582</v>
      </c>
      <c r="G4" s="71" t="s">
        <v>579</v>
      </c>
      <c r="H4" s="71" t="s">
        <v>582</v>
      </c>
      <c r="I4" s="72" t="s">
        <v>580</v>
      </c>
      <c r="J4" s="72" t="s">
        <v>582</v>
      </c>
      <c r="K4" s="73" t="s">
        <v>581</v>
      </c>
      <c r="L4" s="73" t="s">
        <v>582</v>
      </c>
      <c r="M4" s="67" t="s">
        <v>419</v>
      </c>
      <c r="N4" s="67" t="s">
        <v>420</v>
      </c>
      <c r="O4" s="67" t="s">
        <v>421</v>
      </c>
      <c r="P4" s="74" t="s">
        <v>409</v>
      </c>
      <c r="Q4" s="74" t="s">
        <v>409</v>
      </c>
      <c r="R4" s="74" t="s">
        <v>413</v>
      </c>
      <c r="S4" s="74" t="s">
        <v>414</v>
      </c>
      <c r="T4" s="74" t="s">
        <v>415</v>
      </c>
      <c r="U4" s="74" t="s">
        <v>416</v>
      </c>
      <c r="V4" s="74" t="s">
        <v>417</v>
      </c>
      <c r="W4" s="74" t="s">
        <v>418</v>
      </c>
      <c r="X4" s="74" t="s">
        <v>422</v>
      </c>
      <c r="Y4" s="74" t="s">
        <v>423</v>
      </c>
      <c r="Z4" s="74" t="s">
        <v>424</v>
      </c>
    </row>
    <row r="5" spans="1:26" x14ac:dyDescent="0.3">
      <c r="A5" s="43" t="s">
        <v>332</v>
      </c>
      <c r="B5" s="43" t="s">
        <v>333</v>
      </c>
      <c r="C5" s="45">
        <v>85.8</v>
      </c>
      <c r="D5" s="46">
        <f>PRODUCT(C5,$D$2)</f>
        <v>197.33999999999997</v>
      </c>
      <c r="E5" s="53">
        <v>85.03</v>
      </c>
      <c r="F5" s="47">
        <f>SUM(D5:E5)</f>
        <v>282.37</v>
      </c>
      <c r="G5" s="61">
        <f>PRODUCT(E5,$G$2)</f>
        <v>127.545</v>
      </c>
      <c r="H5" s="48">
        <f>SUM(D5,G5)</f>
        <v>324.88499999999999</v>
      </c>
      <c r="I5" s="61">
        <f>PRODUCT(E5,$I$2)</f>
        <v>159.85639999999998</v>
      </c>
      <c r="J5" s="49">
        <f>SUM(D5,I5)</f>
        <v>357.19639999999993</v>
      </c>
      <c r="K5" s="61">
        <v>453.44</v>
      </c>
      <c r="L5" s="50">
        <f>SUM(D5,K5)</f>
        <v>650.78</v>
      </c>
      <c r="M5" s="51">
        <v>400</v>
      </c>
      <c r="N5" s="51">
        <v>2160</v>
      </c>
      <c r="O5" s="51">
        <v>570</v>
      </c>
      <c r="P5" s="43" t="s">
        <v>460</v>
      </c>
      <c r="Q5" s="43" t="s">
        <v>461</v>
      </c>
      <c r="R5" s="43">
        <v>1</v>
      </c>
      <c r="S5" s="43">
        <v>2155</v>
      </c>
      <c r="T5" s="43">
        <v>395</v>
      </c>
      <c r="U5" s="43"/>
      <c r="V5" s="43"/>
      <c r="W5" s="43"/>
      <c r="X5" s="43"/>
      <c r="Y5" s="43"/>
      <c r="Z5" s="43"/>
    </row>
    <row r="6" spans="1:26" x14ac:dyDescent="0.3">
      <c r="A6" s="14" t="s">
        <v>334</v>
      </c>
      <c r="B6" s="14" t="s">
        <v>335</v>
      </c>
      <c r="C6" s="16">
        <v>86.9</v>
      </c>
      <c r="D6" s="17">
        <f>PRODUCT(C6,$D$2)</f>
        <v>199.87</v>
      </c>
      <c r="E6" s="54">
        <v>101.96</v>
      </c>
      <c r="F6" s="18">
        <f t="shared" ref="F6:F10" si="0">SUM(D6:E6)</f>
        <v>301.83</v>
      </c>
      <c r="G6" s="56">
        <f t="shared" ref="G6:G10" si="1">PRODUCT(E6,$G$2)</f>
        <v>152.94</v>
      </c>
      <c r="H6" s="19">
        <f t="shared" ref="H6:H64" si="2">SUM(D6,G6)</f>
        <v>352.81</v>
      </c>
      <c r="I6" s="56">
        <f t="shared" ref="I6:I10" si="3">PRODUCT(E6,$I$2)</f>
        <v>191.68479999999997</v>
      </c>
      <c r="J6" s="20">
        <f t="shared" ref="J6:J10" si="4">SUM(D6,I6)</f>
        <v>391.5548</v>
      </c>
      <c r="K6" s="56">
        <v>453.44</v>
      </c>
      <c r="L6" s="21">
        <f t="shared" ref="L6:L10" si="5">SUM(D6,K6)</f>
        <v>653.30999999999995</v>
      </c>
      <c r="M6" s="22">
        <v>500</v>
      </c>
      <c r="N6" s="22">
        <v>2160</v>
      </c>
      <c r="O6" s="22">
        <v>570</v>
      </c>
      <c r="P6" s="14" t="s">
        <v>460</v>
      </c>
      <c r="Q6" s="14" t="s">
        <v>461</v>
      </c>
      <c r="R6" s="14">
        <v>1</v>
      </c>
      <c r="S6" s="14">
        <v>2155</v>
      </c>
      <c r="T6" s="14">
        <v>495</v>
      </c>
      <c r="U6" s="14"/>
      <c r="V6" s="14"/>
      <c r="W6" s="14"/>
      <c r="X6" s="14"/>
      <c r="Y6" s="14"/>
      <c r="Z6" s="14"/>
    </row>
    <row r="7" spans="1:26" x14ac:dyDescent="0.3">
      <c r="A7" s="14" t="s">
        <v>336</v>
      </c>
      <c r="B7" s="14" t="s">
        <v>337</v>
      </c>
      <c r="C7" s="16">
        <v>88</v>
      </c>
      <c r="D7" s="17">
        <f t="shared" ref="D7:D10" si="6">PRODUCT(C7,$D$2)</f>
        <v>202.39999999999998</v>
      </c>
      <c r="E7" s="54">
        <v>117.58</v>
      </c>
      <c r="F7" s="18">
        <f t="shared" si="0"/>
        <v>319.97999999999996</v>
      </c>
      <c r="G7" s="56">
        <f t="shared" si="1"/>
        <v>176.37</v>
      </c>
      <c r="H7" s="19">
        <f t="shared" si="2"/>
        <v>378.77</v>
      </c>
      <c r="I7" s="56">
        <f t="shared" si="3"/>
        <v>221.0504</v>
      </c>
      <c r="J7" s="20">
        <f t="shared" si="4"/>
        <v>423.45039999999995</v>
      </c>
      <c r="K7" s="56">
        <v>453.44</v>
      </c>
      <c r="L7" s="21">
        <f t="shared" si="5"/>
        <v>655.83999999999992</v>
      </c>
      <c r="M7" s="22">
        <v>600</v>
      </c>
      <c r="N7" s="22">
        <v>2160</v>
      </c>
      <c r="O7" s="22">
        <v>570</v>
      </c>
      <c r="P7" s="14" t="s">
        <v>460</v>
      </c>
      <c r="Q7" s="14" t="s">
        <v>461</v>
      </c>
      <c r="R7" s="14">
        <v>1</v>
      </c>
      <c r="S7" s="14">
        <v>2155</v>
      </c>
      <c r="T7" s="14">
        <v>595</v>
      </c>
      <c r="U7" s="14"/>
      <c r="V7" s="14"/>
      <c r="W7" s="14"/>
      <c r="X7" s="14"/>
      <c r="Y7" s="14"/>
      <c r="Z7" s="14"/>
    </row>
    <row r="8" spans="1:26" x14ac:dyDescent="0.3">
      <c r="A8" s="14" t="s">
        <v>338</v>
      </c>
      <c r="B8" s="14" t="s">
        <v>339</v>
      </c>
      <c r="C8" s="16">
        <v>92.1</v>
      </c>
      <c r="D8" s="17">
        <f t="shared" si="6"/>
        <v>211.82999999999998</v>
      </c>
      <c r="E8" s="54">
        <v>170.06</v>
      </c>
      <c r="F8" s="18">
        <f t="shared" si="0"/>
        <v>381.89</v>
      </c>
      <c r="G8" s="56">
        <f t="shared" si="1"/>
        <v>255.09</v>
      </c>
      <c r="H8" s="19">
        <f t="shared" si="2"/>
        <v>466.91999999999996</v>
      </c>
      <c r="I8" s="56">
        <f t="shared" si="3"/>
        <v>319.71279999999996</v>
      </c>
      <c r="J8" s="20">
        <f t="shared" si="4"/>
        <v>531.54279999999994</v>
      </c>
      <c r="K8" s="56">
        <v>906.88</v>
      </c>
      <c r="L8" s="21">
        <f t="shared" si="5"/>
        <v>1118.71</v>
      </c>
      <c r="M8" s="22">
        <v>800</v>
      </c>
      <c r="N8" s="22">
        <v>2160</v>
      </c>
      <c r="O8" s="22">
        <v>570</v>
      </c>
      <c r="P8" s="14" t="s">
        <v>460</v>
      </c>
      <c r="Q8" s="14" t="s">
        <v>461</v>
      </c>
      <c r="R8" s="14">
        <v>2</v>
      </c>
      <c r="S8" s="14">
        <v>2155</v>
      </c>
      <c r="T8" s="14">
        <v>395</v>
      </c>
      <c r="U8" s="14"/>
      <c r="V8" s="14"/>
      <c r="W8" s="14"/>
      <c r="X8" s="14"/>
      <c r="Y8" s="14"/>
      <c r="Z8" s="14"/>
    </row>
    <row r="9" spans="1:26" x14ac:dyDescent="0.3">
      <c r="A9" s="14" t="s">
        <v>340</v>
      </c>
      <c r="B9" s="14" t="s">
        <v>341</v>
      </c>
      <c r="C9" s="16">
        <v>94.2</v>
      </c>
      <c r="D9" s="17">
        <f t="shared" si="6"/>
        <v>216.66</v>
      </c>
      <c r="E9" s="54">
        <v>203.92</v>
      </c>
      <c r="F9" s="18">
        <f t="shared" si="0"/>
        <v>420.58</v>
      </c>
      <c r="G9" s="56">
        <f t="shared" si="1"/>
        <v>305.88</v>
      </c>
      <c r="H9" s="19">
        <f t="shared" si="2"/>
        <v>522.54</v>
      </c>
      <c r="I9" s="56">
        <f t="shared" si="3"/>
        <v>383.36959999999993</v>
      </c>
      <c r="J9" s="20">
        <f t="shared" si="4"/>
        <v>600.02959999999996</v>
      </c>
      <c r="K9" s="56">
        <v>906.88</v>
      </c>
      <c r="L9" s="21">
        <f t="shared" si="5"/>
        <v>1123.54</v>
      </c>
      <c r="M9" s="22">
        <v>1000</v>
      </c>
      <c r="N9" s="22">
        <v>2160</v>
      </c>
      <c r="O9" s="22">
        <v>570</v>
      </c>
      <c r="P9" s="14" t="s">
        <v>460</v>
      </c>
      <c r="Q9" s="14" t="s">
        <v>461</v>
      </c>
      <c r="R9" s="14">
        <v>2</v>
      </c>
      <c r="S9" s="14">
        <v>2155</v>
      </c>
      <c r="T9" s="14">
        <v>495</v>
      </c>
      <c r="U9" s="14"/>
      <c r="V9" s="14"/>
      <c r="W9" s="14"/>
      <c r="X9" s="14"/>
      <c r="Y9" s="14"/>
      <c r="Z9" s="14"/>
    </row>
    <row r="10" spans="1:26" x14ac:dyDescent="0.3">
      <c r="A10" s="14" t="s">
        <v>342</v>
      </c>
      <c r="B10" s="14" t="s">
        <v>343</v>
      </c>
      <c r="C10" s="23">
        <v>96.3</v>
      </c>
      <c r="D10" s="17">
        <f t="shared" si="6"/>
        <v>221.48999999999998</v>
      </c>
      <c r="E10" s="54">
        <v>235.16</v>
      </c>
      <c r="F10" s="18">
        <f t="shared" si="0"/>
        <v>456.65</v>
      </c>
      <c r="G10" s="56">
        <f t="shared" si="1"/>
        <v>352.74</v>
      </c>
      <c r="H10" s="19">
        <f t="shared" si="2"/>
        <v>574.23</v>
      </c>
      <c r="I10" s="56">
        <f t="shared" si="3"/>
        <v>442.10079999999999</v>
      </c>
      <c r="J10" s="20">
        <f t="shared" si="4"/>
        <v>663.59079999999994</v>
      </c>
      <c r="K10" s="54">
        <v>906.88</v>
      </c>
      <c r="L10" s="24">
        <f t="shared" si="5"/>
        <v>1128.3699999999999</v>
      </c>
      <c r="M10" s="22">
        <v>1200</v>
      </c>
      <c r="N10" s="22">
        <v>2160</v>
      </c>
      <c r="O10" s="22">
        <v>570</v>
      </c>
      <c r="P10" s="14" t="s">
        <v>460</v>
      </c>
      <c r="Q10" s="14" t="s">
        <v>461</v>
      </c>
      <c r="R10" s="14">
        <v>2</v>
      </c>
      <c r="S10" s="14">
        <v>2155</v>
      </c>
      <c r="T10" s="14">
        <v>595</v>
      </c>
      <c r="U10" s="14"/>
      <c r="V10" s="14"/>
      <c r="W10" s="14"/>
      <c r="X10" s="14"/>
      <c r="Y10" s="14"/>
      <c r="Z10" s="14"/>
    </row>
    <row r="11" spans="1:26" x14ac:dyDescent="0.3">
      <c r="A11" s="14"/>
      <c r="B11" s="14"/>
      <c r="C11" s="16"/>
      <c r="D11" s="17"/>
      <c r="E11" s="54"/>
      <c r="F11" s="18"/>
      <c r="G11" s="56"/>
      <c r="H11" s="19"/>
      <c r="I11" s="56"/>
      <c r="J11" s="20"/>
      <c r="K11" s="56"/>
      <c r="L11" s="21"/>
      <c r="M11" s="22"/>
      <c r="N11" s="22"/>
      <c r="O11" s="22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x14ac:dyDescent="0.3">
      <c r="A12" s="14"/>
      <c r="B12" s="14"/>
      <c r="C12" s="16"/>
      <c r="D12" s="17"/>
      <c r="E12" s="54"/>
      <c r="F12" s="18"/>
      <c r="G12" s="56"/>
      <c r="H12" s="19"/>
      <c r="I12" s="56"/>
      <c r="J12" s="20"/>
      <c r="K12" s="56"/>
      <c r="L12" s="21"/>
      <c r="M12" s="22"/>
      <c r="N12" s="22"/>
      <c r="O12" s="22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x14ac:dyDescent="0.3">
      <c r="A13" s="14" t="s">
        <v>344</v>
      </c>
      <c r="B13" s="14" t="s">
        <v>345</v>
      </c>
      <c r="C13" s="16">
        <v>112</v>
      </c>
      <c r="D13" s="17">
        <f t="shared" ref="D13:D16" si="7">PRODUCT(C13,$D$2)</f>
        <v>257.59999999999997</v>
      </c>
      <c r="E13" s="54">
        <v>85.03</v>
      </c>
      <c r="F13" s="18">
        <f t="shared" ref="F13:F16" si="8">SUM(D13:E13)</f>
        <v>342.63</v>
      </c>
      <c r="G13" s="56">
        <f t="shared" ref="G13:G16" si="9">PRODUCT(E13,$G$2)</f>
        <v>127.545</v>
      </c>
      <c r="H13" s="19">
        <f t="shared" si="2"/>
        <v>385.14499999999998</v>
      </c>
      <c r="I13" s="56">
        <f t="shared" ref="I13:I16" si="10">PRODUCT(E13,$I$2)</f>
        <v>159.85639999999998</v>
      </c>
      <c r="J13" s="20">
        <f t="shared" ref="J13:J16" si="11">SUM(D13,I13)</f>
        <v>417.45639999999992</v>
      </c>
      <c r="K13" s="56">
        <v>453.44</v>
      </c>
      <c r="L13" s="21">
        <f t="shared" ref="L13:L16" si="12">SUM(D13,K13)</f>
        <v>711.04</v>
      </c>
      <c r="M13" s="22">
        <v>800</v>
      </c>
      <c r="N13" s="22">
        <v>2160</v>
      </c>
      <c r="O13" s="22">
        <v>570</v>
      </c>
      <c r="P13" s="14" t="s">
        <v>460</v>
      </c>
      <c r="Q13" s="14" t="s">
        <v>426</v>
      </c>
      <c r="R13" s="14">
        <v>2</v>
      </c>
      <c r="S13" s="14">
        <v>2155</v>
      </c>
      <c r="T13" s="14">
        <v>395</v>
      </c>
      <c r="U13" s="14"/>
      <c r="V13" s="14"/>
      <c r="W13" s="14"/>
      <c r="X13" s="14"/>
      <c r="Y13" s="14"/>
      <c r="Z13" s="14"/>
    </row>
    <row r="14" spans="1:26" x14ac:dyDescent="0.3">
      <c r="A14" s="14" t="s">
        <v>346</v>
      </c>
      <c r="B14" s="14" t="s">
        <v>347</v>
      </c>
      <c r="C14" s="16">
        <v>114</v>
      </c>
      <c r="D14" s="17">
        <f t="shared" si="7"/>
        <v>262.2</v>
      </c>
      <c r="E14" s="54">
        <v>93.24</v>
      </c>
      <c r="F14" s="18">
        <f t="shared" si="8"/>
        <v>355.44</v>
      </c>
      <c r="G14" s="56">
        <f t="shared" si="9"/>
        <v>139.85999999999999</v>
      </c>
      <c r="H14" s="19">
        <f t="shared" si="2"/>
        <v>402.05999999999995</v>
      </c>
      <c r="I14" s="56">
        <f t="shared" si="10"/>
        <v>175.29119999999998</v>
      </c>
      <c r="J14" s="20">
        <f t="shared" si="11"/>
        <v>437.49119999999994</v>
      </c>
      <c r="K14" s="56">
        <v>453.44</v>
      </c>
      <c r="L14" s="21">
        <f t="shared" si="12"/>
        <v>715.64</v>
      </c>
      <c r="M14" s="22">
        <v>900</v>
      </c>
      <c r="N14" s="22">
        <v>2160</v>
      </c>
      <c r="O14" s="22">
        <v>570</v>
      </c>
      <c r="P14" s="14" t="s">
        <v>460</v>
      </c>
      <c r="Q14" s="14" t="s">
        <v>426</v>
      </c>
      <c r="R14" s="14">
        <v>2</v>
      </c>
      <c r="S14" s="14">
        <v>2155</v>
      </c>
      <c r="T14" s="14">
        <v>445</v>
      </c>
      <c r="U14" s="14"/>
      <c r="V14" s="14"/>
      <c r="W14" s="14"/>
      <c r="X14" s="14"/>
      <c r="Y14" s="14"/>
      <c r="Z14" s="14"/>
    </row>
    <row r="15" spans="1:26" x14ac:dyDescent="0.3">
      <c r="A15" s="14" t="s">
        <v>348</v>
      </c>
      <c r="B15" s="14" t="s">
        <v>349</v>
      </c>
      <c r="C15" s="16">
        <v>116</v>
      </c>
      <c r="D15" s="17">
        <f t="shared" si="7"/>
        <v>266.79999999999995</v>
      </c>
      <c r="E15" s="54">
        <v>101.96</v>
      </c>
      <c r="F15" s="18">
        <f t="shared" si="8"/>
        <v>368.75999999999993</v>
      </c>
      <c r="G15" s="56">
        <f t="shared" si="9"/>
        <v>152.94</v>
      </c>
      <c r="H15" s="19">
        <f t="shared" si="2"/>
        <v>419.73999999999995</v>
      </c>
      <c r="I15" s="56">
        <f t="shared" si="10"/>
        <v>191.68479999999997</v>
      </c>
      <c r="J15" s="20">
        <f t="shared" si="11"/>
        <v>458.48479999999995</v>
      </c>
      <c r="K15" s="56">
        <v>906.88</v>
      </c>
      <c r="L15" s="21">
        <f t="shared" si="12"/>
        <v>1173.6799999999998</v>
      </c>
      <c r="M15" s="22">
        <v>1000</v>
      </c>
      <c r="N15" s="22">
        <v>2160</v>
      </c>
      <c r="O15" s="22">
        <v>570</v>
      </c>
      <c r="P15" s="14" t="s">
        <v>460</v>
      </c>
      <c r="Q15" s="14" t="s">
        <v>426</v>
      </c>
      <c r="R15" s="14">
        <v>2</v>
      </c>
      <c r="S15" s="14">
        <v>2155</v>
      </c>
      <c r="T15" s="14">
        <v>495</v>
      </c>
      <c r="U15" s="14"/>
      <c r="V15" s="14"/>
      <c r="W15" s="14"/>
      <c r="X15" s="14"/>
      <c r="Y15" s="14"/>
      <c r="Z15" s="14"/>
    </row>
    <row r="16" spans="1:26" x14ac:dyDescent="0.3">
      <c r="A16" s="14" t="s">
        <v>350</v>
      </c>
      <c r="B16" s="14" t="s">
        <v>351</v>
      </c>
      <c r="C16" s="16">
        <v>118</v>
      </c>
      <c r="D16" s="17">
        <f t="shared" si="7"/>
        <v>271.39999999999998</v>
      </c>
      <c r="E16" s="54">
        <v>117.58</v>
      </c>
      <c r="F16" s="18">
        <f t="shared" si="8"/>
        <v>388.97999999999996</v>
      </c>
      <c r="G16" s="56">
        <f t="shared" si="9"/>
        <v>176.37</v>
      </c>
      <c r="H16" s="19">
        <f t="shared" si="2"/>
        <v>447.77</v>
      </c>
      <c r="I16" s="56">
        <f t="shared" si="10"/>
        <v>221.0504</v>
      </c>
      <c r="J16" s="20">
        <f t="shared" si="11"/>
        <v>492.45039999999995</v>
      </c>
      <c r="K16" s="56">
        <v>906.88</v>
      </c>
      <c r="L16" s="21">
        <f t="shared" si="12"/>
        <v>1178.28</v>
      </c>
      <c r="M16" s="22">
        <v>1200</v>
      </c>
      <c r="N16" s="22">
        <v>2160</v>
      </c>
      <c r="O16" s="22">
        <v>570</v>
      </c>
      <c r="P16" s="14" t="s">
        <v>460</v>
      </c>
      <c r="Q16" s="14" t="s">
        <v>426</v>
      </c>
      <c r="R16" s="14">
        <v>2</v>
      </c>
      <c r="S16" s="14">
        <v>2155</v>
      </c>
      <c r="T16" s="14">
        <v>595</v>
      </c>
      <c r="U16" s="14"/>
      <c r="V16" s="14"/>
      <c r="W16" s="14"/>
      <c r="X16" s="14"/>
      <c r="Y16" s="14"/>
      <c r="Z16" s="14"/>
    </row>
    <row r="17" spans="1:29" x14ac:dyDescent="0.3">
      <c r="A17" s="14"/>
      <c r="B17" s="14"/>
      <c r="C17" s="16"/>
      <c r="D17" s="17"/>
      <c r="E17" s="54"/>
      <c r="F17" s="18"/>
      <c r="G17" s="56"/>
      <c r="H17" s="19"/>
      <c r="I17" s="56"/>
      <c r="J17" s="20"/>
      <c r="K17" s="56"/>
      <c r="L17" s="21"/>
      <c r="M17" s="22"/>
      <c r="N17" s="22"/>
      <c r="O17" s="22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spans="1:29" x14ac:dyDescent="0.3">
      <c r="A18" s="14" t="s">
        <v>352</v>
      </c>
      <c r="B18" s="14" t="s">
        <v>353</v>
      </c>
      <c r="C18" s="16">
        <v>148</v>
      </c>
      <c r="D18" s="17">
        <f t="shared" ref="D18" si="13">PRODUCT(C18,$D$2)</f>
        <v>340.4</v>
      </c>
      <c r="E18" s="54">
        <v>101.96</v>
      </c>
      <c r="F18" s="18">
        <f t="shared" ref="F18" si="14">SUM(D18:E18)</f>
        <v>442.35999999999996</v>
      </c>
      <c r="G18" s="56">
        <f>PRODUCT(E18,$G$2)</f>
        <v>152.94</v>
      </c>
      <c r="H18" s="19">
        <f t="shared" si="2"/>
        <v>493.34</v>
      </c>
      <c r="I18" s="56">
        <f t="shared" ref="I18" si="15">PRODUCT(E18,$I$2)</f>
        <v>191.68479999999997</v>
      </c>
      <c r="J18" s="20">
        <f t="shared" ref="J18" si="16">SUM(D18,I18)</f>
        <v>532.08479999999997</v>
      </c>
      <c r="K18" s="56">
        <v>906.88</v>
      </c>
      <c r="L18" s="21">
        <f>SUM(D18,K18)</f>
        <v>1247.28</v>
      </c>
      <c r="M18" s="22"/>
      <c r="N18" s="22">
        <v>2160</v>
      </c>
      <c r="O18" s="22">
        <v>570</v>
      </c>
      <c r="P18" s="14" t="s">
        <v>460</v>
      </c>
      <c r="Q18" s="14" t="s">
        <v>426</v>
      </c>
      <c r="R18" s="14">
        <v>1</v>
      </c>
      <c r="S18" s="14">
        <v>2155</v>
      </c>
      <c r="T18" s="14">
        <v>495</v>
      </c>
      <c r="U18" s="14"/>
      <c r="V18" s="14"/>
      <c r="W18" s="14"/>
      <c r="X18" s="14"/>
      <c r="Y18" s="14"/>
      <c r="Z18" s="14"/>
    </row>
    <row r="19" spans="1:29" x14ac:dyDescent="0.3">
      <c r="A19" s="14"/>
      <c r="B19" s="93" t="s">
        <v>354</v>
      </c>
      <c r="C19" s="16"/>
      <c r="D19" s="17"/>
      <c r="E19" s="54"/>
      <c r="F19" s="18"/>
      <c r="G19" s="56"/>
      <c r="H19" s="19"/>
      <c r="I19" s="56"/>
      <c r="J19" s="20"/>
      <c r="K19" s="56"/>
      <c r="L19" s="21"/>
      <c r="M19" s="22"/>
      <c r="N19" s="22"/>
      <c r="O19" s="22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9" x14ac:dyDescent="0.3">
      <c r="A20" s="14"/>
      <c r="B20" s="93"/>
      <c r="C20" s="16"/>
      <c r="D20" s="17"/>
      <c r="E20" s="54"/>
      <c r="F20" s="18"/>
      <c r="G20" s="56"/>
      <c r="H20" s="19"/>
      <c r="I20" s="56"/>
      <c r="J20" s="20"/>
      <c r="K20" s="56"/>
      <c r="L20" s="21"/>
      <c r="M20" s="22"/>
      <c r="N20" s="22"/>
      <c r="O20" s="2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spans="1:29" x14ac:dyDescent="0.3">
      <c r="A21" s="14" t="s">
        <v>526</v>
      </c>
      <c r="B21" s="94" t="s">
        <v>528</v>
      </c>
      <c r="C21" s="16">
        <v>50</v>
      </c>
      <c r="D21" s="17">
        <f t="shared" ref="D21:D23" si="17">PRODUCT(C21,$D$2)</f>
        <v>114.99999999999999</v>
      </c>
      <c r="E21" s="54" t="s">
        <v>583</v>
      </c>
      <c r="F21" s="18"/>
      <c r="G21" s="56"/>
      <c r="H21" s="19"/>
      <c r="I21" s="56"/>
      <c r="J21" s="20"/>
      <c r="K21" s="56"/>
      <c r="L21" s="21"/>
      <c r="M21" s="22"/>
      <c r="N21" s="22"/>
      <c r="O21" s="22"/>
      <c r="P21" s="14" t="s">
        <v>460</v>
      </c>
      <c r="Q21" s="14" t="s">
        <v>529</v>
      </c>
      <c r="R21" s="14"/>
      <c r="S21" s="14"/>
      <c r="T21" s="14"/>
      <c r="U21" s="14"/>
      <c r="V21" s="14"/>
      <c r="W21" s="14"/>
      <c r="X21" s="14"/>
      <c r="Y21" s="14"/>
      <c r="Z21" s="14"/>
    </row>
    <row r="22" spans="1:29" x14ac:dyDescent="0.3">
      <c r="A22" s="14" t="s">
        <v>531</v>
      </c>
      <c r="B22" s="14" t="s">
        <v>515</v>
      </c>
      <c r="C22" s="16">
        <v>22</v>
      </c>
      <c r="D22" s="17">
        <f t="shared" si="17"/>
        <v>50.599999999999994</v>
      </c>
      <c r="E22" s="54"/>
      <c r="F22" s="18"/>
      <c r="G22" s="56"/>
      <c r="H22" s="19"/>
      <c r="I22" s="56"/>
      <c r="J22" s="20"/>
      <c r="K22" s="56"/>
      <c r="L22" s="21"/>
      <c r="M22" s="22"/>
      <c r="N22" s="22">
        <v>120</v>
      </c>
      <c r="O22" s="22">
        <v>570</v>
      </c>
      <c r="P22" s="14" t="s">
        <v>460</v>
      </c>
      <c r="Q22" s="14" t="s">
        <v>516</v>
      </c>
      <c r="R22" s="14"/>
      <c r="S22" s="14"/>
      <c r="T22" s="14"/>
      <c r="U22" s="14"/>
      <c r="V22" s="14"/>
      <c r="W22" s="14"/>
      <c r="X22" s="14"/>
      <c r="Y22" s="14"/>
      <c r="Z22" s="14"/>
      <c r="AA22" s="2"/>
      <c r="AC22" s="2"/>
    </row>
    <row r="23" spans="1:29" x14ac:dyDescent="0.3">
      <c r="A23" s="14" t="s">
        <v>532</v>
      </c>
      <c r="B23" s="14" t="s">
        <v>530</v>
      </c>
      <c r="C23" s="16">
        <v>60</v>
      </c>
      <c r="D23" s="17">
        <f t="shared" si="17"/>
        <v>138</v>
      </c>
      <c r="E23" s="54"/>
      <c r="F23" s="18"/>
      <c r="G23" s="56"/>
      <c r="H23" s="19"/>
      <c r="I23" s="56"/>
      <c r="J23" s="20"/>
      <c r="K23" s="56"/>
      <c r="L23" s="21"/>
      <c r="M23" s="22"/>
      <c r="N23" s="22">
        <v>120</v>
      </c>
      <c r="O23" s="22">
        <v>570</v>
      </c>
      <c r="P23" s="14" t="s">
        <v>460</v>
      </c>
      <c r="Q23" s="14" t="s">
        <v>516</v>
      </c>
      <c r="R23" s="14"/>
      <c r="S23" s="14"/>
      <c r="T23" s="14"/>
      <c r="U23" s="14"/>
      <c r="V23" s="14"/>
      <c r="W23" s="14"/>
      <c r="X23" s="14"/>
      <c r="Y23" s="14"/>
      <c r="Z23" s="14"/>
      <c r="AA23" s="2"/>
      <c r="AC23" s="2"/>
    </row>
    <row r="24" spans="1:29" x14ac:dyDescent="0.3">
      <c r="A24" s="14"/>
      <c r="B24" s="14"/>
      <c r="C24" s="26"/>
      <c r="D24" s="27"/>
      <c r="E24" s="55"/>
      <c r="F24" s="28"/>
      <c r="G24" s="62"/>
      <c r="H24" s="19"/>
      <c r="I24" s="62"/>
      <c r="J24" s="29"/>
      <c r="K24" s="62"/>
      <c r="L24" s="3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spans="1:29" x14ac:dyDescent="0.3">
      <c r="A25" s="14"/>
      <c r="B25" s="14"/>
      <c r="C25" s="16"/>
      <c r="D25" s="17"/>
      <c r="E25" s="54"/>
      <c r="F25" s="18"/>
      <c r="G25" s="56"/>
      <c r="H25" s="19"/>
      <c r="I25" s="56"/>
      <c r="J25" s="20"/>
      <c r="K25" s="56"/>
      <c r="L25" s="21"/>
      <c r="M25" s="22"/>
      <c r="N25" s="22"/>
      <c r="O25" s="22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spans="1:29" x14ac:dyDescent="0.3">
      <c r="A26" s="14" t="s">
        <v>520</v>
      </c>
      <c r="B26" s="94" t="s">
        <v>517</v>
      </c>
      <c r="C26" s="16">
        <v>170</v>
      </c>
      <c r="D26" s="17">
        <f t="shared" ref="D26:D28" si="18">PRODUCT(C26,$D$2)</f>
        <v>390.99999999999994</v>
      </c>
      <c r="E26" s="54"/>
      <c r="F26" s="18"/>
      <c r="G26" s="56"/>
      <c r="H26" s="19"/>
      <c r="I26" s="56"/>
      <c r="J26" s="20"/>
      <c r="K26" s="56"/>
      <c r="L26" s="21"/>
      <c r="M26" s="22">
        <v>1000</v>
      </c>
      <c r="N26" s="22">
        <v>2160</v>
      </c>
      <c r="O26" s="22">
        <v>660</v>
      </c>
      <c r="P26" s="14" t="s">
        <v>460</v>
      </c>
      <c r="Q26" s="14" t="s">
        <v>524</v>
      </c>
      <c r="R26" s="14"/>
      <c r="S26" s="14"/>
      <c r="T26" s="14"/>
      <c r="U26" s="14"/>
      <c r="V26" s="14"/>
      <c r="W26" s="14"/>
      <c r="X26" s="14"/>
      <c r="Y26" s="14"/>
      <c r="Z26" s="14"/>
    </row>
    <row r="27" spans="1:29" x14ac:dyDescent="0.3">
      <c r="A27" s="14" t="s">
        <v>518</v>
      </c>
      <c r="B27" s="94" t="s">
        <v>519</v>
      </c>
      <c r="C27" s="16">
        <v>170</v>
      </c>
      <c r="D27" s="17">
        <f t="shared" si="18"/>
        <v>390.99999999999994</v>
      </c>
      <c r="E27" s="54"/>
      <c r="F27" s="18"/>
      <c r="G27" s="56"/>
      <c r="H27" s="19"/>
      <c r="I27" s="56"/>
      <c r="J27" s="20"/>
      <c r="K27" s="56"/>
      <c r="L27" s="21"/>
      <c r="M27" s="22">
        <v>1000</v>
      </c>
      <c r="N27" s="22">
        <v>2160</v>
      </c>
      <c r="O27" s="22">
        <v>660</v>
      </c>
      <c r="P27" s="14" t="s">
        <v>460</v>
      </c>
      <c r="Q27" s="14" t="s">
        <v>524</v>
      </c>
      <c r="R27" s="14"/>
      <c r="S27" s="14"/>
      <c r="T27" s="14"/>
      <c r="U27" s="14"/>
      <c r="V27" s="14"/>
      <c r="W27" s="14"/>
      <c r="X27" s="14"/>
      <c r="Y27" s="14"/>
      <c r="Z27" s="14"/>
    </row>
    <row r="28" spans="1:29" x14ac:dyDescent="0.3">
      <c r="A28" s="14" t="s">
        <v>521</v>
      </c>
      <c r="B28" s="94" t="s">
        <v>522</v>
      </c>
      <c r="C28" s="16">
        <v>200</v>
      </c>
      <c r="D28" s="17">
        <f t="shared" si="18"/>
        <v>459.99999999999994</v>
      </c>
      <c r="E28" s="54"/>
      <c r="F28" s="18"/>
      <c r="G28" s="56"/>
      <c r="H28" s="19"/>
      <c r="I28" s="56"/>
      <c r="J28" s="20"/>
      <c r="K28" s="56"/>
      <c r="L28" s="21"/>
      <c r="M28" s="22">
        <v>1000</v>
      </c>
      <c r="N28" s="22">
        <v>2160</v>
      </c>
      <c r="O28" s="22">
        <v>660</v>
      </c>
      <c r="P28" s="14" t="s">
        <v>460</v>
      </c>
      <c r="Q28" s="14" t="s">
        <v>524</v>
      </c>
      <c r="R28" s="14"/>
      <c r="S28" s="14"/>
      <c r="T28" s="14"/>
      <c r="U28" s="14"/>
      <c r="V28" s="14"/>
      <c r="W28" s="14"/>
      <c r="X28" s="14"/>
      <c r="Y28" s="14"/>
      <c r="Z28" s="14"/>
    </row>
    <row r="29" spans="1:29" x14ac:dyDescent="0.3">
      <c r="A29" s="14"/>
      <c r="B29" s="94"/>
      <c r="C29" s="16"/>
      <c r="D29" s="17"/>
      <c r="E29" s="54"/>
      <c r="F29" s="18"/>
      <c r="G29" s="56"/>
      <c r="H29" s="19"/>
      <c r="I29" s="56"/>
      <c r="J29" s="20"/>
      <c r="K29" s="56"/>
      <c r="L29" s="21"/>
      <c r="M29" s="22"/>
      <c r="N29" s="22"/>
      <c r="O29" s="22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9" x14ac:dyDescent="0.3">
      <c r="A30" s="14" t="s">
        <v>527</v>
      </c>
      <c r="B30" s="94" t="s">
        <v>523</v>
      </c>
      <c r="C30" s="16">
        <v>20</v>
      </c>
      <c r="D30" s="17">
        <f t="shared" ref="D30" si="19">PRODUCT(C30,$D$2)</f>
        <v>46</v>
      </c>
      <c r="E30" s="54"/>
      <c r="F30" s="18"/>
      <c r="G30" s="56"/>
      <c r="H30" s="19"/>
      <c r="I30" s="56"/>
      <c r="J30" s="20"/>
      <c r="K30" s="56"/>
      <c r="L30" s="21"/>
      <c r="M30" s="22"/>
      <c r="N30" s="22"/>
      <c r="O30" s="22"/>
      <c r="P30" s="14" t="s">
        <v>460</v>
      </c>
      <c r="Q30" s="14" t="s">
        <v>525</v>
      </c>
      <c r="R30" s="14"/>
      <c r="S30" s="14"/>
      <c r="T30" s="14"/>
      <c r="U30" s="14"/>
      <c r="V30" s="14"/>
      <c r="W30" s="14"/>
      <c r="X30" s="14"/>
      <c r="Y30" s="14"/>
      <c r="Z30" s="14"/>
    </row>
    <row r="31" spans="1:29" x14ac:dyDescent="0.3">
      <c r="A31" s="14"/>
      <c r="B31" s="14"/>
      <c r="C31" s="16"/>
      <c r="D31" s="17"/>
      <c r="E31" s="54"/>
      <c r="F31" s="18"/>
      <c r="G31" s="56"/>
      <c r="H31" s="19"/>
      <c r="I31" s="56"/>
      <c r="J31" s="20"/>
      <c r="K31" s="56"/>
      <c r="L31" s="21"/>
      <c r="M31" s="22"/>
      <c r="N31" s="22"/>
      <c r="O31" s="22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9" x14ac:dyDescent="0.3">
      <c r="A32" s="14" t="s">
        <v>355</v>
      </c>
      <c r="B32" s="94" t="s">
        <v>356</v>
      </c>
      <c r="C32" s="16">
        <v>127</v>
      </c>
      <c r="D32" s="17">
        <f t="shared" ref="D32:D36" si="20">PRODUCT(C32,$D$2)</f>
        <v>292.09999999999997</v>
      </c>
      <c r="E32" s="54">
        <v>95.72</v>
      </c>
      <c r="F32" s="18">
        <f t="shared" ref="F32:F36" si="21">SUM(D32:E32)</f>
        <v>387.81999999999994</v>
      </c>
      <c r="G32" s="56">
        <f t="shared" ref="G32:G36" si="22">PRODUCT(E32,$G$2)</f>
        <v>143.57999999999998</v>
      </c>
      <c r="H32" s="19">
        <f t="shared" si="2"/>
        <v>435.67999999999995</v>
      </c>
      <c r="I32" s="56">
        <f t="shared" ref="I32:I36" si="23">PRODUCT(E32,$I$2)</f>
        <v>179.95359999999999</v>
      </c>
      <c r="J32" s="20">
        <f t="shared" ref="J32:J36" si="24">SUM(D32,I32)</f>
        <v>472.05359999999996</v>
      </c>
      <c r="K32" s="56"/>
      <c r="L32" s="21"/>
      <c r="M32" s="22">
        <v>400</v>
      </c>
      <c r="N32" s="22">
        <v>2160</v>
      </c>
      <c r="O32" s="22">
        <v>570</v>
      </c>
      <c r="P32" s="14" t="s">
        <v>464</v>
      </c>
      <c r="Q32" s="14"/>
      <c r="R32" s="14">
        <v>1</v>
      </c>
      <c r="S32" s="14">
        <v>1495</v>
      </c>
      <c r="T32" s="14">
        <v>395</v>
      </c>
      <c r="U32" s="14">
        <v>3</v>
      </c>
      <c r="V32" s="14">
        <v>215</v>
      </c>
      <c r="W32" s="14">
        <v>395</v>
      </c>
      <c r="X32" s="14"/>
      <c r="Y32" s="14"/>
      <c r="Z32" s="14"/>
    </row>
    <row r="33" spans="1:26" x14ac:dyDescent="0.3">
      <c r="A33" s="14" t="s">
        <v>357</v>
      </c>
      <c r="B33" s="94" t="s">
        <v>358</v>
      </c>
      <c r="C33" s="16">
        <v>128</v>
      </c>
      <c r="D33" s="17">
        <f t="shared" si="20"/>
        <v>294.39999999999998</v>
      </c>
      <c r="E33" s="54">
        <v>114.19</v>
      </c>
      <c r="F33" s="18">
        <f t="shared" si="21"/>
        <v>408.59</v>
      </c>
      <c r="G33" s="56">
        <f t="shared" si="22"/>
        <v>171.285</v>
      </c>
      <c r="H33" s="19">
        <f t="shared" si="2"/>
        <v>465.68499999999995</v>
      </c>
      <c r="I33" s="56">
        <f t="shared" si="23"/>
        <v>214.67719999999997</v>
      </c>
      <c r="J33" s="20">
        <f t="shared" si="24"/>
        <v>509.07719999999995</v>
      </c>
      <c r="K33" s="56"/>
      <c r="L33" s="21"/>
      <c r="M33" s="22">
        <v>500</v>
      </c>
      <c r="N33" s="22">
        <v>2160</v>
      </c>
      <c r="O33" s="22">
        <v>570</v>
      </c>
      <c r="P33" s="14" t="s">
        <v>464</v>
      </c>
      <c r="Q33" s="14"/>
      <c r="R33" s="14">
        <v>1</v>
      </c>
      <c r="S33" s="14">
        <v>1495</v>
      </c>
      <c r="T33" s="14">
        <v>495</v>
      </c>
      <c r="U33" s="14">
        <v>3</v>
      </c>
      <c r="V33" s="14">
        <v>215</v>
      </c>
      <c r="W33" s="14">
        <v>495</v>
      </c>
      <c r="X33" s="14"/>
      <c r="Y33" s="14"/>
      <c r="Z33" s="14"/>
    </row>
    <row r="34" spans="1:26" x14ac:dyDescent="0.3">
      <c r="A34" s="14" t="s">
        <v>359</v>
      </c>
      <c r="B34" s="94" t="s">
        <v>360</v>
      </c>
      <c r="C34" s="16">
        <v>129</v>
      </c>
      <c r="D34" s="17">
        <f t="shared" si="20"/>
        <v>296.7</v>
      </c>
      <c r="E34" s="54">
        <v>132.49</v>
      </c>
      <c r="F34" s="18">
        <f t="shared" si="21"/>
        <v>429.19</v>
      </c>
      <c r="G34" s="56">
        <f t="shared" si="22"/>
        <v>198.73500000000001</v>
      </c>
      <c r="H34" s="19">
        <f t="shared" si="2"/>
        <v>495.435</v>
      </c>
      <c r="I34" s="56">
        <f t="shared" si="23"/>
        <v>249.0812</v>
      </c>
      <c r="J34" s="20">
        <f t="shared" si="24"/>
        <v>545.78120000000001</v>
      </c>
      <c r="K34" s="56"/>
      <c r="L34" s="21"/>
      <c r="M34" s="22">
        <v>600</v>
      </c>
      <c r="N34" s="22">
        <v>2160</v>
      </c>
      <c r="O34" s="22">
        <v>570</v>
      </c>
      <c r="P34" s="14" t="s">
        <v>464</v>
      </c>
      <c r="Q34" s="14"/>
      <c r="R34" s="14">
        <v>1</v>
      </c>
      <c r="S34" s="14">
        <v>1495</v>
      </c>
      <c r="T34" s="14">
        <v>595</v>
      </c>
      <c r="U34" s="14">
        <v>3</v>
      </c>
      <c r="V34" s="14">
        <v>215</v>
      </c>
      <c r="W34" s="14">
        <v>595</v>
      </c>
      <c r="X34" s="14"/>
      <c r="Y34" s="14"/>
      <c r="Z34" s="14"/>
    </row>
    <row r="35" spans="1:26" x14ac:dyDescent="0.3">
      <c r="A35" s="14" t="s">
        <v>361</v>
      </c>
      <c r="B35" s="94" t="s">
        <v>362</v>
      </c>
      <c r="C35" s="16">
        <v>136</v>
      </c>
      <c r="D35" s="17">
        <f t="shared" si="20"/>
        <v>312.79999999999995</v>
      </c>
      <c r="E35" s="54">
        <v>182.04</v>
      </c>
      <c r="F35" s="18">
        <f t="shared" si="21"/>
        <v>494.83999999999992</v>
      </c>
      <c r="G35" s="56">
        <f t="shared" si="22"/>
        <v>273.06</v>
      </c>
      <c r="H35" s="19">
        <f t="shared" si="2"/>
        <v>585.8599999999999</v>
      </c>
      <c r="I35" s="56">
        <f t="shared" si="23"/>
        <v>342.23519999999996</v>
      </c>
      <c r="J35" s="20">
        <f t="shared" si="24"/>
        <v>655.03519999999992</v>
      </c>
      <c r="K35" s="56"/>
      <c r="L35" s="21"/>
      <c r="M35" s="22">
        <v>800</v>
      </c>
      <c r="N35" s="22">
        <v>2160</v>
      </c>
      <c r="O35" s="22">
        <v>570</v>
      </c>
      <c r="P35" s="14" t="s">
        <v>464</v>
      </c>
      <c r="Q35" s="14"/>
      <c r="R35" s="14">
        <v>1</v>
      </c>
      <c r="S35" s="14">
        <v>1495</v>
      </c>
      <c r="T35" s="14">
        <v>395</v>
      </c>
      <c r="U35" s="14">
        <v>3</v>
      </c>
      <c r="V35" s="14">
        <v>215</v>
      </c>
      <c r="W35" s="14">
        <v>795</v>
      </c>
      <c r="X35" s="14"/>
      <c r="Y35" s="14"/>
      <c r="Z35" s="14"/>
    </row>
    <row r="36" spans="1:26" x14ac:dyDescent="0.3">
      <c r="A36" s="14" t="s">
        <v>363</v>
      </c>
      <c r="B36" s="94" t="s">
        <v>364</v>
      </c>
      <c r="C36" s="16">
        <v>137</v>
      </c>
      <c r="D36" s="17">
        <f t="shared" si="20"/>
        <v>315.09999999999997</v>
      </c>
      <c r="E36" s="54">
        <v>222.64</v>
      </c>
      <c r="F36" s="18">
        <f t="shared" si="21"/>
        <v>537.74</v>
      </c>
      <c r="G36" s="56">
        <f t="shared" si="22"/>
        <v>333.96</v>
      </c>
      <c r="H36" s="19">
        <f t="shared" si="2"/>
        <v>649.05999999999995</v>
      </c>
      <c r="I36" s="56">
        <f t="shared" si="23"/>
        <v>418.56319999999994</v>
      </c>
      <c r="J36" s="20">
        <f t="shared" si="24"/>
        <v>733.66319999999996</v>
      </c>
      <c r="K36" s="56"/>
      <c r="L36" s="21"/>
      <c r="M36" s="22">
        <v>1000</v>
      </c>
      <c r="N36" s="22">
        <v>2160</v>
      </c>
      <c r="O36" s="22">
        <v>570</v>
      </c>
      <c r="P36" s="14" t="s">
        <v>464</v>
      </c>
      <c r="Q36" s="14"/>
      <c r="R36" s="14">
        <v>1</v>
      </c>
      <c r="S36" s="14">
        <v>1495</v>
      </c>
      <c r="T36" s="14">
        <v>495</v>
      </c>
      <c r="U36" s="14">
        <v>3</v>
      </c>
      <c r="V36" s="14">
        <v>215</v>
      </c>
      <c r="W36" s="14">
        <v>995</v>
      </c>
      <c r="X36" s="14"/>
      <c r="Y36" s="14"/>
      <c r="Z36" s="14"/>
    </row>
    <row r="37" spans="1:26" x14ac:dyDescent="0.3">
      <c r="A37" s="14"/>
      <c r="B37" s="93" t="s">
        <v>365</v>
      </c>
      <c r="C37" s="16"/>
      <c r="D37" s="17"/>
      <c r="E37" s="54"/>
      <c r="F37" s="18"/>
      <c r="G37" s="56"/>
      <c r="H37" s="19"/>
      <c r="I37" s="56"/>
      <c r="J37" s="20"/>
      <c r="K37" s="56"/>
      <c r="L37" s="21"/>
      <c r="M37" s="22"/>
      <c r="N37" s="22"/>
      <c r="O37" s="22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1:26" x14ac:dyDescent="0.3">
      <c r="A38" s="14"/>
      <c r="B38" s="94"/>
      <c r="C38" s="16"/>
      <c r="D38" s="17"/>
      <c r="E38" s="54"/>
      <c r="F38" s="18"/>
      <c r="G38" s="56"/>
      <c r="H38" s="19"/>
      <c r="I38" s="56"/>
      <c r="J38" s="20"/>
      <c r="K38" s="56"/>
      <c r="L38" s="21"/>
      <c r="M38" s="22"/>
      <c r="N38" s="22"/>
      <c r="O38" s="22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spans="1:26" x14ac:dyDescent="0.3">
      <c r="A39" s="14" t="s">
        <v>366</v>
      </c>
      <c r="B39" s="94" t="s">
        <v>367</v>
      </c>
      <c r="C39" s="16">
        <v>36</v>
      </c>
      <c r="D39" s="17">
        <f t="shared" ref="D39:D44" si="25">PRODUCT(C39,$D$2)</f>
        <v>82.8</v>
      </c>
      <c r="E39" s="54">
        <v>23.26</v>
      </c>
      <c r="F39" s="18">
        <f t="shared" ref="F39:F50" si="26">SUM(D39:E39)</f>
        <v>106.06</v>
      </c>
      <c r="G39" s="56">
        <f t="shared" ref="G39:G44" si="27">PRODUCT(E39,$G$2)</f>
        <v>34.89</v>
      </c>
      <c r="H39" s="19">
        <f t="shared" si="2"/>
        <v>117.69</v>
      </c>
      <c r="I39" s="56">
        <f t="shared" ref="I39:I44" si="28">PRODUCT(E39,$I$2)</f>
        <v>43.7288</v>
      </c>
      <c r="J39" s="20">
        <f t="shared" ref="J39:J44" si="29">SUM(D39,I39)</f>
        <v>126.52879999999999</v>
      </c>
      <c r="K39" s="56"/>
      <c r="L39" s="21"/>
      <c r="M39" s="22">
        <v>400</v>
      </c>
      <c r="N39" s="22">
        <v>540</v>
      </c>
      <c r="O39" s="22">
        <v>570</v>
      </c>
      <c r="P39" s="14" t="s">
        <v>458</v>
      </c>
      <c r="Q39" s="14" t="s">
        <v>459</v>
      </c>
      <c r="R39" s="14">
        <v>1</v>
      </c>
      <c r="S39" s="14">
        <v>535</v>
      </c>
      <c r="T39" s="14">
        <v>395</v>
      </c>
      <c r="U39" s="14"/>
      <c r="V39" s="14"/>
      <c r="W39" s="14"/>
      <c r="X39" s="14"/>
      <c r="Y39" s="14"/>
      <c r="Z39" s="14"/>
    </row>
    <row r="40" spans="1:26" x14ac:dyDescent="0.3">
      <c r="A40" s="14" t="s">
        <v>368</v>
      </c>
      <c r="B40" s="94" t="s">
        <v>369</v>
      </c>
      <c r="C40" s="16">
        <v>38</v>
      </c>
      <c r="D40" s="17">
        <f t="shared" si="25"/>
        <v>87.399999999999991</v>
      </c>
      <c r="E40" s="54">
        <v>26.47</v>
      </c>
      <c r="F40" s="18">
        <f t="shared" si="26"/>
        <v>113.86999999999999</v>
      </c>
      <c r="G40" s="56">
        <f t="shared" si="27"/>
        <v>39.704999999999998</v>
      </c>
      <c r="H40" s="19">
        <f t="shared" si="2"/>
        <v>127.10499999999999</v>
      </c>
      <c r="I40" s="56">
        <f t="shared" si="28"/>
        <v>49.763599999999997</v>
      </c>
      <c r="J40" s="20">
        <f t="shared" si="29"/>
        <v>137.16359999999997</v>
      </c>
      <c r="K40" s="56"/>
      <c r="L40" s="21"/>
      <c r="M40" s="22">
        <v>500</v>
      </c>
      <c r="N40" s="22">
        <v>540</v>
      </c>
      <c r="O40" s="22">
        <v>570</v>
      </c>
      <c r="P40" s="14" t="s">
        <v>458</v>
      </c>
      <c r="Q40" s="14" t="s">
        <v>459</v>
      </c>
      <c r="R40" s="14">
        <v>1</v>
      </c>
      <c r="S40" s="14">
        <v>535</v>
      </c>
      <c r="T40" s="14">
        <v>495</v>
      </c>
      <c r="U40" s="14"/>
      <c r="V40" s="14"/>
      <c r="W40" s="14"/>
      <c r="X40" s="14"/>
      <c r="Y40" s="14"/>
      <c r="Z40" s="14"/>
    </row>
    <row r="41" spans="1:26" x14ac:dyDescent="0.3">
      <c r="A41" s="14" t="s">
        <v>370</v>
      </c>
      <c r="B41" s="94" t="s">
        <v>371</v>
      </c>
      <c r="C41" s="16">
        <v>40</v>
      </c>
      <c r="D41" s="17">
        <f t="shared" si="25"/>
        <v>92</v>
      </c>
      <c r="E41" s="54">
        <v>29.71</v>
      </c>
      <c r="F41" s="18">
        <f t="shared" si="26"/>
        <v>121.71000000000001</v>
      </c>
      <c r="G41" s="56">
        <f t="shared" si="27"/>
        <v>44.564999999999998</v>
      </c>
      <c r="H41" s="19">
        <f t="shared" si="2"/>
        <v>136.565</v>
      </c>
      <c r="I41" s="56">
        <f t="shared" si="28"/>
        <v>55.854799999999997</v>
      </c>
      <c r="J41" s="20">
        <f t="shared" si="29"/>
        <v>147.85480000000001</v>
      </c>
      <c r="K41" s="56"/>
      <c r="L41" s="21"/>
      <c r="M41" s="22">
        <v>600</v>
      </c>
      <c r="N41" s="22">
        <v>540</v>
      </c>
      <c r="O41" s="22">
        <v>570</v>
      </c>
      <c r="P41" s="14" t="s">
        <v>458</v>
      </c>
      <c r="Q41" s="14" t="s">
        <v>459</v>
      </c>
      <c r="R41" s="14">
        <v>1</v>
      </c>
      <c r="S41" s="14">
        <v>535</v>
      </c>
      <c r="T41" s="14">
        <v>595</v>
      </c>
      <c r="U41" s="14"/>
      <c r="V41" s="14"/>
      <c r="W41" s="14"/>
      <c r="X41" s="14"/>
      <c r="Y41" s="14"/>
      <c r="Z41" s="14"/>
    </row>
    <row r="42" spans="1:26" x14ac:dyDescent="0.3">
      <c r="A42" s="14" t="s">
        <v>372</v>
      </c>
      <c r="B42" s="94" t="s">
        <v>373</v>
      </c>
      <c r="C42" s="16">
        <v>45</v>
      </c>
      <c r="D42" s="17">
        <f t="shared" si="25"/>
        <v>103.49999999999999</v>
      </c>
      <c r="E42" s="54">
        <v>46.52</v>
      </c>
      <c r="F42" s="18">
        <f t="shared" si="26"/>
        <v>150.01999999999998</v>
      </c>
      <c r="G42" s="56">
        <f t="shared" si="27"/>
        <v>69.78</v>
      </c>
      <c r="H42" s="19">
        <f t="shared" si="2"/>
        <v>173.27999999999997</v>
      </c>
      <c r="I42" s="56">
        <f t="shared" si="28"/>
        <v>87.457599999999999</v>
      </c>
      <c r="J42" s="20">
        <f t="shared" si="29"/>
        <v>190.95759999999999</v>
      </c>
      <c r="K42" s="56"/>
      <c r="L42" s="21"/>
      <c r="M42" s="22">
        <v>800</v>
      </c>
      <c r="N42" s="22">
        <v>540</v>
      </c>
      <c r="O42" s="22">
        <v>570</v>
      </c>
      <c r="P42" s="14" t="s">
        <v>458</v>
      </c>
      <c r="Q42" s="14" t="s">
        <v>459</v>
      </c>
      <c r="R42" s="14">
        <v>2</v>
      </c>
      <c r="S42" s="14">
        <v>535</v>
      </c>
      <c r="T42" s="14">
        <v>395</v>
      </c>
      <c r="U42" s="14"/>
      <c r="V42" s="14"/>
      <c r="W42" s="14"/>
      <c r="X42" s="14"/>
      <c r="Y42" s="14"/>
      <c r="Z42" s="14"/>
    </row>
    <row r="43" spans="1:26" x14ac:dyDescent="0.3">
      <c r="A43" s="14" t="s">
        <v>374</v>
      </c>
      <c r="B43" s="94" t="s">
        <v>375</v>
      </c>
      <c r="C43" s="16">
        <v>47</v>
      </c>
      <c r="D43" s="17">
        <f t="shared" si="25"/>
        <v>108.1</v>
      </c>
      <c r="E43" s="54">
        <v>52.94</v>
      </c>
      <c r="F43" s="18">
        <f t="shared" si="26"/>
        <v>161.04</v>
      </c>
      <c r="G43" s="56">
        <f t="shared" si="27"/>
        <v>79.41</v>
      </c>
      <c r="H43" s="19">
        <f t="shared" si="2"/>
        <v>187.51</v>
      </c>
      <c r="I43" s="56">
        <f t="shared" si="28"/>
        <v>99.527199999999993</v>
      </c>
      <c r="J43" s="20">
        <f t="shared" si="29"/>
        <v>207.62719999999999</v>
      </c>
      <c r="K43" s="56"/>
      <c r="L43" s="21"/>
      <c r="M43" s="22">
        <v>1000</v>
      </c>
      <c r="N43" s="22">
        <v>540</v>
      </c>
      <c r="O43" s="22">
        <v>570</v>
      </c>
      <c r="P43" s="14" t="s">
        <v>458</v>
      </c>
      <c r="Q43" s="14" t="s">
        <v>459</v>
      </c>
      <c r="R43" s="14">
        <v>2</v>
      </c>
      <c r="S43" s="14">
        <v>535</v>
      </c>
      <c r="T43" s="14">
        <v>495</v>
      </c>
      <c r="U43" s="14"/>
      <c r="V43" s="14"/>
      <c r="W43" s="14"/>
      <c r="X43" s="14"/>
      <c r="Y43" s="14"/>
      <c r="Z43" s="14"/>
    </row>
    <row r="44" spans="1:26" x14ac:dyDescent="0.3">
      <c r="A44" s="14" t="s">
        <v>376</v>
      </c>
      <c r="B44" s="94" t="s">
        <v>377</v>
      </c>
      <c r="C44" s="16">
        <v>49</v>
      </c>
      <c r="D44" s="17">
        <f t="shared" si="25"/>
        <v>112.69999999999999</v>
      </c>
      <c r="E44" s="54">
        <v>59.42</v>
      </c>
      <c r="F44" s="18">
        <f t="shared" si="26"/>
        <v>172.12</v>
      </c>
      <c r="G44" s="56">
        <f t="shared" si="27"/>
        <v>89.13</v>
      </c>
      <c r="H44" s="19">
        <f t="shared" si="2"/>
        <v>201.82999999999998</v>
      </c>
      <c r="I44" s="56">
        <f t="shared" si="28"/>
        <v>111.70959999999999</v>
      </c>
      <c r="J44" s="20">
        <f t="shared" si="29"/>
        <v>224.40959999999998</v>
      </c>
      <c r="K44" s="56"/>
      <c r="L44" s="21"/>
      <c r="M44" s="22">
        <v>1200</v>
      </c>
      <c r="N44" s="22">
        <v>540</v>
      </c>
      <c r="O44" s="22">
        <v>570</v>
      </c>
      <c r="P44" s="14" t="s">
        <v>458</v>
      </c>
      <c r="Q44" s="14" t="s">
        <v>459</v>
      </c>
      <c r="R44" s="14">
        <v>2</v>
      </c>
      <c r="S44" s="14">
        <v>535</v>
      </c>
      <c r="T44" s="14">
        <v>595</v>
      </c>
      <c r="U44" s="14"/>
      <c r="V44" s="14"/>
      <c r="W44" s="14"/>
      <c r="X44" s="14"/>
      <c r="Y44" s="14"/>
      <c r="Z44" s="14"/>
    </row>
    <row r="45" spans="1:26" x14ac:dyDescent="0.3">
      <c r="A45" s="14"/>
      <c r="B45" s="94"/>
      <c r="C45" s="16"/>
      <c r="D45" s="17"/>
      <c r="E45" s="54"/>
      <c r="F45" s="18"/>
      <c r="G45" s="56"/>
      <c r="H45" s="19"/>
      <c r="I45" s="56"/>
      <c r="J45" s="20"/>
      <c r="K45" s="56"/>
      <c r="L45" s="21"/>
      <c r="M45" s="22"/>
      <c r="N45" s="22"/>
      <c r="O45" s="22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x14ac:dyDescent="0.3">
      <c r="A46" s="14" t="s">
        <v>378</v>
      </c>
      <c r="B46" s="94" t="s">
        <v>379</v>
      </c>
      <c r="C46" s="16">
        <v>82</v>
      </c>
      <c r="D46" s="17">
        <f t="shared" ref="D46:D49" si="30">PRODUCT(C46,$D$2)</f>
        <v>188.6</v>
      </c>
      <c r="E46" s="54">
        <v>37.89</v>
      </c>
      <c r="F46" s="18">
        <f t="shared" si="26"/>
        <v>226.49</v>
      </c>
      <c r="G46" s="56">
        <f t="shared" ref="G46:G50" si="31">PRODUCT(E46,$G$2)</f>
        <v>56.835000000000001</v>
      </c>
      <c r="H46" s="19">
        <f t="shared" si="2"/>
        <v>245.435</v>
      </c>
      <c r="I46" s="56">
        <f t="shared" ref="I46:I50" si="32">PRODUCT(E46,$I$2)</f>
        <v>71.233199999999997</v>
      </c>
      <c r="J46" s="20">
        <f t="shared" ref="J46:J50" si="33">SUM(D46,I46)</f>
        <v>259.83319999999998</v>
      </c>
      <c r="K46" s="56"/>
      <c r="L46" s="21"/>
      <c r="M46" s="22">
        <v>400</v>
      </c>
      <c r="N46" s="22">
        <v>760</v>
      </c>
      <c r="O46" s="22">
        <v>490</v>
      </c>
      <c r="P46" s="14" t="s">
        <v>462</v>
      </c>
      <c r="Q46" s="14" t="s">
        <v>432</v>
      </c>
      <c r="R46" s="14">
        <v>3</v>
      </c>
      <c r="S46" s="14">
        <v>215</v>
      </c>
      <c r="T46" s="14">
        <v>395</v>
      </c>
      <c r="U46" s="14"/>
      <c r="V46" s="14"/>
      <c r="W46" s="14"/>
      <c r="X46" s="14"/>
      <c r="Y46" s="14"/>
      <c r="Z46" s="14"/>
    </row>
    <row r="47" spans="1:26" x14ac:dyDescent="0.3">
      <c r="A47" s="14" t="s">
        <v>380</v>
      </c>
      <c r="B47" s="94" t="s">
        <v>381</v>
      </c>
      <c r="C47" s="16">
        <v>84</v>
      </c>
      <c r="D47" s="17">
        <f t="shared" si="30"/>
        <v>193.2</v>
      </c>
      <c r="E47" s="54">
        <v>45.12</v>
      </c>
      <c r="F47" s="18">
        <f t="shared" si="26"/>
        <v>238.32</v>
      </c>
      <c r="G47" s="56">
        <f t="shared" si="31"/>
        <v>67.679999999999993</v>
      </c>
      <c r="H47" s="19">
        <f t="shared" si="2"/>
        <v>260.88</v>
      </c>
      <c r="I47" s="56">
        <f t="shared" si="32"/>
        <v>84.825599999999994</v>
      </c>
      <c r="J47" s="20">
        <f t="shared" si="33"/>
        <v>278.0256</v>
      </c>
      <c r="K47" s="56"/>
      <c r="L47" s="21"/>
      <c r="M47" s="22">
        <v>500</v>
      </c>
      <c r="N47" s="22">
        <v>760</v>
      </c>
      <c r="O47" s="22">
        <v>490</v>
      </c>
      <c r="P47" s="14" t="s">
        <v>462</v>
      </c>
      <c r="Q47" s="14" t="s">
        <v>432</v>
      </c>
      <c r="R47" s="14">
        <v>3</v>
      </c>
      <c r="S47" s="14">
        <v>215</v>
      </c>
      <c r="T47" s="14">
        <v>495</v>
      </c>
      <c r="U47" s="14"/>
      <c r="V47" s="14"/>
      <c r="W47" s="14"/>
      <c r="X47" s="14"/>
      <c r="Y47" s="14"/>
      <c r="Z47" s="14"/>
    </row>
    <row r="48" spans="1:26" x14ac:dyDescent="0.3">
      <c r="A48" s="14" t="s">
        <v>382</v>
      </c>
      <c r="B48" s="94" t="s">
        <v>383</v>
      </c>
      <c r="C48" s="16">
        <v>86</v>
      </c>
      <c r="D48" s="17">
        <f t="shared" si="30"/>
        <v>197.79999999999998</v>
      </c>
      <c r="E48" s="54">
        <v>55.3</v>
      </c>
      <c r="F48" s="18">
        <f t="shared" si="26"/>
        <v>253.09999999999997</v>
      </c>
      <c r="G48" s="56">
        <f t="shared" si="31"/>
        <v>82.949999999999989</v>
      </c>
      <c r="H48" s="19">
        <f t="shared" si="2"/>
        <v>280.75</v>
      </c>
      <c r="I48" s="56">
        <f t="shared" si="32"/>
        <v>103.96399999999998</v>
      </c>
      <c r="J48" s="20">
        <f t="shared" si="33"/>
        <v>301.76399999999995</v>
      </c>
      <c r="K48" s="56"/>
      <c r="L48" s="21"/>
      <c r="M48" s="22">
        <v>600</v>
      </c>
      <c r="N48" s="22">
        <v>760</v>
      </c>
      <c r="O48" s="22">
        <v>490</v>
      </c>
      <c r="P48" s="14" t="s">
        <v>462</v>
      </c>
      <c r="Q48" s="14" t="s">
        <v>432</v>
      </c>
      <c r="R48" s="14">
        <v>3</v>
      </c>
      <c r="S48" s="14">
        <v>215</v>
      </c>
      <c r="T48" s="14">
        <v>595</v>
      </c>
      <c r="U48" s="14"/>
      <c r="V48" s="14"/>
      <c r="W48" s="14"/>
      <c r="X48" s="14"/>
      <c r="Y48" s="14"/>
      <c r="Z48" s="14"/>
    </row>
    <row r="49" spans="1:26" x14ac:dyDescent="0.3">
      <c r="A49" s="14" t="s">
        <v>384</v>
      </c>
      <c r="B49" s="94" t="s">
        <v>385</v>
      </c>
      <c r="C49" s="16">
        <v>90</v>
      </c>
      <c r="D49" s="17">
        <f t="shared" si="30"/>
        <v>206.99999999999997</v>
      </c>
      <c r="E49" s="56">
        <v>72.400000000000006</v>
      </c>
      <c r="F49" s="31">
        <f t="shared" si="26"/>
        <v>279.39999999999998</v>
      </c>
      <c r="G49" s="56">
        <f t="shared" si="31"/>
        <v>108.60000000000001</v>
      </c>
      <c r="H49" s="19">
        <f t="shared" si="2"/>
        <v>315.59999999999997</v>
      </c>
      <c r="I49" s="56">
        <f t="shared" si="32"/>
        <v>136.11199999999999</v>
      </c>
      <c r="J49" s="20">
        <f t="shared" si="33"/>
        <v>343.11199999999997</v>
      </c>
      <c r="K49" s="56"/>
      <c r="L49" s="21"/>
      <c r="M49" s="22">
        <v>800</v>
      </c>
      <c r="N49" s="22">
        <v>760</v>
      </c>
      <c r="O49" s="22">
        <v>490</v>
      </c>
      <c r="P49" s="14" t="s">
        <v>462</v>
      </c>
      <c r="Q49" s="14" t="s">
        <v>432</v>
      </c>
      <c r="R49" s="14">
        <v>3</v>
      </c>
      <c r="S49" s="14">
        <v>215</v>
      </c>
      <c r="T49" s="14">
        <v>795</v>
      </c>
      <c r="U49" s="14"/>
      <c r="V49" s="14"/>
      <c r="W49" s="14"/>
      <c r="X49" s="14"/>
      <c r="Y49" s="14"/>
      <c r="Z49" s="14"/>
    </row>
    <row r="50" spans="1:26" x14ac:dyDescent="0.3">
      <c r="A50" s="14" t="s">
        <v>386</v>
      </c>
      <c r="B50" s="94" t="s">
        <v>387</v>
      </c>
      <c r="C50" s="16">
        <v>92</v>
      </c>
      <c r="D50" s="17">
        <v>218.68</v>
      </c>
      <c r="E50" s="56">
        <v>90.24</v>
      </c>
      <c r="F50" s="31">
        <f t="shared" si="26"/>
        <v>308.92</v>
      </c>
      <c r="G50" s="56">
        <f t="shared" si="31"/>
        <v>135.35999999999999</v>
      </c>
      <c r="H50" s="19">
        <f t="shared" si="2"/>
        <v>354.03999999999996</v>
      </c>
      <c r="I50" s="56">
        <f t="shared" si="32"/>
        <v>169.65119999999999</v>
      </c>
      <c r="J50" s="20">
        <f t="shared" si="33"/>
        <v>388.33119999999997</v>
      </c>
      <c r="K50" s="56"/>
      <c r="L50" s="21"/>
      <c r="M50" s="22">
        <v>1000</v>
      </c>
      <c r="N50" s="22">
        <v>760</v>
      </c>
      <c r="O50" s="22">
        <v>490</v>
      </c>
      <c r="P50" s="14" t="s">
        <v>462</v>
      </c>
      <c r="Q50" s="14" t="s">
        <v>432</v>
      </c>
      <c r="R50" s="14">
        <v>3</v>
      </c>
      <c r="S50" s="14">
        <v>215</v>
      </c>
      <c r="T50" s="14">
        <v>995</v>
      </c>
      <c r="U50" s="14"/>
      <c r="V50" s="14"/>
      <c r="W50" s="14"/>
      <c r="X50" s="14"/>
      <c r="Y50" s="14"/>
      <c r="Z50" s="14"/>
    </row>
    <row r="51" spans="1:26" x14ac:dyDescent="0.3">
      <c r="A51" s="14"/>
      <c r="B51" s="93" t="s">
        <v>388</v>
      </c>
      <c r="C51" s="16"/>
      <c r="D51" s="17"/>
      <c r="E51" s="56"/>
      <c r="F51" s="31"/>
      <c r="G51" s="56"/>
      <c r="H51" s="19"/>
      <c r="I51" s="56"/>
      <c r="J51" s="20"/>
      <c r="K51" s="56"/>
      <c r="L51" s="21"/>
      <c r="M51" s="22"/>
      <c r="N51" s="22"/>
      <c r="O51" s="22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spans="1:26" x14ac:dyDescent="0.3">
      <c r="A52" s="14"/>
      <c r="B52" s="94"/>
      <c r="C52" s="16"/>
      <c r="D52" s="17"/>
      <c r="E52" s="56"/>
      <c r="F52" s="31"/>
      <c r="G52" s="56"/>
      <c r="H52" s="19"/>
      <c r="I52" s="56"/>
      <c r="J52" s="20"/>
      <c r="K52" s="56"/>
      <c r="L52" s="21"/>
      <c r="M52" s="22"/>
      <c r="N52" s="22"/>
      <c r="O52" s="22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spans="1:26" x14ac:dyDescent="0.3">
      <c r="A53" s="14" t="s">
        <v>389</v>
      </c>
      <c r="B53" s="94" t="s">
        <v>390</v>
      </c>
      <c r="C53" s="16">
        <v>67.099999999999994</v>
      </c>
      <c r="D53" s="17">
        <f t="shared" ref="D53:D57" si="34">PRODUCT(C53,$D$2)</f>
        <v>154.32999999999998</v>
      </c>
      <c r="E53" s="56">
        <v>25.26</v>
      </c>
      <c r="F53" s="31">
        <f t="shared" ref="F53:F57" si="35">SUM(D53:E53)</f>
        <v>179.58999999999997</v>
      </c>
      <c r="G53" s="56">
        <f t="shared" ref="G53:G57" si="36">PRODUCT(E53,$G$2)</f>
        <v>37.89</v>
      </c>
      <c r="H53" s="19">
        <f t="shared" si="2"/>
        <v>192.21999999999997</v>
      </c>
      <c r="I53" s="56">
        <f t="shared" ref="I53:I57" si="37">PRODUCT(E53,$I$2)</f>
        <v>47.488799999999998</v>
      </c>
      <c r="J53" s="20">
        <f t="shared" ref="J53:J57" si="38">SUM(D53,I53)</f>
        <v>201.81879999999998</v>
      </c>
      <c r="K53" s="56"/>
      <c r="L53" s="21"/>
      <c r="M53" s="22">
        <v>400</v>
      </c>
      <c r="N53" s="22">
        <v>540</v>
      </c>
      <c r="O53" s="22">
        <v>490</v>
      </c>
      <c r="P53" s="14" t="s">
        <v>462</v>
      </c>
      <c r="Q53" s="14" t="s">
        <v>435</v>
      </c>
      <c r="R53" s="14">
        <v>2</v>
      </c>
      <c r="S53" s="14">
        <v>215</v>
      </c>
      <c r="T53" s="14">
        <v>395</v>
      </c>
      <c r="U53" s="14"/>
      <c r="V53" s="14"/>
      <c r="W53" s="14"/>
      <c r="X53" s="14"/>
      <c r="Y53" s="14"/>
      <c r="Z53" s="14"/>
    </row>
    <row r="54" spans="1:26" x14ac:dyDescent="0.3">
      <c r="A54" s="14" t="s">
        <v>391</v>
      </c>
      <c r="B54" s="94" t="s">
        <v>392</v>
      </c>
      <c r="C54" s="16">
        <v>70.099999999999994</v>
      </c>
      <c r="D54" s="17">
        <f t="shared" si="34"/>
        <v>161.22999999999996</v>
      </c>
      <c r="E54" s="56">
        <v>30.08</v>
      </c>
      <c r="F54" s="31">
        <f t="shared" si="35"/>
        <v>191.30999999999995</v>
      </c>
      <c r="G54" s="56">
        <f t="shared" si="36"/>
        <v>45.12</v>
      </c>
      <c r="H54" s="19">
        <f t="shared" si="2"/>
        <v>206.34999999999997</v>
      </c>
      <c r="I54" s="56">
        <f t="shared" si="37"/>
        <v>56.550399999999996</v>
      </c>
      <c r="J54" s="20">
        <f t="shared" si="38"/>
        <v>217.78039999999996</v>
      </c>
      <c r="K54" s="56"/>
      <c r="L54" s="21"/>
      <c r="M54" s="22">
        <v>500</v>
      </c>
      <c r="N54" s="22">
        <v>540</v>
      </c>
      <c r="O54" s="22">
        <v>490</v>
      </c>
      <c r="P54" s="14" t="s">
        <v>462</v>
      </c>
      <c r="Q54" s="14" t="s">
        <v>435</v>
      </c>
      <c r="R54" s="14">
        <v>2</v>
      </c>
      <c r="S54" s="14">
        <v>215</v>
      </c>
      <c r="T54" s="14">
        <v>495</v>
      </c>
      <c r="U54" s="14"/>
      <c r="V54" s="14"/>
      <c r="W54" s="14"/>
      <c r="X54" s="14"/>
      <c r="Y54" s="14"/>
      <c r="Z54" s="14"/>
    </row>
    <row r="55" spans="1:26" x14ac:dyDescent="0.3">
      <c r="A55" s="14" t="s">
        <v>393</v>
      </c>
      <c r="B55" s="94" t="s">
        <v>394</v>
      </c>
      <c r="C55" s="16">
        <v>71.5</v>
      </c>
      <c r="D55" s="17">
        <f t="shared" si="34"/>
        <v>164.45</v>
      </c>
      <c r="E55" s="56">
        <v>34.96</v>
      </c>
      <c r="F55" s="31">
        <f t="shared" si="35"/>
        <v>199.41</v>
      </c>
      <c r="G55" s="56">
        <f t="shared" si="36"/>
        <v>52.44</v>
      </c>
      <c r="H55" s="19">
        <f t="shared" si="2"/>
        <v>216.89</v>
      </c>
      <c r="I55" s="56">
        <f t="shared" si="37"/>
        <v>65.724800000000002</v>
      </c>
      <c r="J55" s="20">
        <f t="shared" si="38"/>
        <v>230.1748</v>
      </c>
      <c r="K55" s="56"/>
      <c r="L55" s="21"/>
      <c r="M55" s="22">
        <v>600</v>
      </c>
      <c r="N55" s="22">
        <v>540</v>
      </c>
      <c r="O55" s="22">
        <v>490</v>
      </c>
      <c r="P55" s="14" t="s">
        <v>462</v>
      </c>
      <c r="Q55" s="14" t="s">
        <v>435</v>
      </c>
      <c r="R55" s="14">
        <v>2</v>
      </c>
      <c r="S55" s="14">
        <v>215</v>
      </c>
      <c r="T55" s="14">
        <v>595</v>
      </c>
      <c r="U55" s="14"/>
      <c r="V55" s="14"/>
      <c r="W55" s="14"/>
      <c r="X55" s="14"/>
      <c r="Y55" s="14"/>
      <c r="Z55" s="14"/>
    </row>
    <row r="56" spans="1:26" x14ac:dyDescent="0.3">
      <c r="A56" s="14" t="s">
        <v>395</v>
      </c>
      <c r="B56" s="94" t="s">
        <v>396</v>
      </c>
      <c r="C56" s="16">
        <v>77</v>
      </c>
      <c r="D56" s="17">
        <f t="shared" si="34"/>
        <v>177.1</v>
      </c>
      <c r="E56" s="56">
        <v>50.52</v>
      </c>
      <c r="F56" s="31">
        <f t="shared" si="35"/>
        <v>227.62</v>
      </c>
      <c r="G56" s="56">
        <f t="shared" si="36"/>
        <v>75.78</v>
      </c>
      <c r="H56" s="19">
        <f t="shared" si="2"/>
        <v>252.88</v>
      </c>
      <c r="I56" s="56">
        <f t="shared" si="37"/>
        <v>94.977599999999995</v>
      </c>
      <c r="J56" s="20">
        <f t="shared" si="38"/>
        <v>272.07759999999996</v>
      </c>
      <c r="K56" s="56"/>
      <c r="L56" s="21"/>
      <c r="M56" s="22">
        <v>800</v>
      </c>
      <c r="N56" s="22">
        <v>540</v>
      </c>
      <c r="O56" s="22">
        <v>490</v>
      </c>
      <c r="P56" s="14" t="s">
        <v>462</v>
      </c>
      <c r="Q56" s="14" t="s">
        <v>435</v>
      </c>
      <c r="R56" s="14">
        <v>2</v>
      </c>
      <c r="S56" s="14">
        <v>215</v>
      </c>
      <c r="T56" s="14">
        <v>795</v>
      </c>
      <c r="U56" s="14"/>
      <c r="V56" s="14"/>
      <c r="W56" s="14"/>
      <c r="X56" s="14"/>
      <c r="Y56" s="14"/>
      <c r="Z56" s="14"/>
    </row>
    <row r="57" spans="1:26" x14ac:dyDescent="0.3">
      <c r="A57" s="14" t="s">
        <v>397</v>
      </c>
      <c r="B57" s="94" t="s">
        <v>398</v>
      </c>
      <c r="C57" s="16">
        <v>79.2</v>
      </c>
      <c r="D57" s="17">
        <f t="shared" si="34"/>
        <v>182.16</v>
      </c>
      <c r="E57" s="56">
        <v>60.16</v>
      </c>
      <c r="F57" s="31">
        <f t="shared" si="35"/>
        <v>242.32</v>
      </c>
      <c r="G57" s="56">
        <f t="shared" si="36"/>
        <v>90.24</v>
      </c>
      <c r="H57" s="19">
        <f t="shared" si="2"/>
        <v>272.39999999999998</v>
      </c>
      <c r="I57" s="56">
        <f t="shared" si="37"/>
        <v>113.10079999999999</v>
      </c>
      <c r="J57" s="20">
        <f t="shared" si="38"/>
        <v>295.26080000000002</v>
      </c>
      <c r="K57" s="56"/>
      <c r="L57" s="21"/>
      <c r="M57" s="22">
        <v>1000</v>
      </c>
      <c r="N57" s="22">
        <v>540</v>
      </c>
      <c r="O57" s="22">
        <v>490</v>
      </c>
      <c r="P57" s="14" t="s">
        <v>462</v>
      </c>
      <c r="Q57" s="14" t="s">
        <v>435</v>
      </c>
      <c r="R57" s="14">
        <v>2</v>
      </c>
      <c r="S57" s="14">
        <v>215</v>
      </c>
      <c r="T57" s="14">
        <v>995</v>
      </c>
      <c r="U57" s="14"/>
      <c r="V57" s="14"/>
      <c r="W57" s="14"/>
      <c r="X57" s="14"/>
      <c r="Y57" s="14"/>
      <c r="Z57" s="14"/>
    </row>
    <row r="58" spans="1:26" x14ac:dyDescent="0.3">
      <c r="A58" s="14"/>
      <c r="B58" s="93" t="s">
        <v>388</v>
      </c>
      <c r="C58" s="16"/>
      <c r="D58" s="17"/>
      <c r="E58" s="56"/>
      <c r="F58" s="31"/>
      <c r="G58" s="56"/>
      <c r="H58" s="19"/>
      <c r="I58" s="56"/>
      <c r="J58" s="20"/>
      <c r="K58" s="56"/>
      <c r="L58" s="21"/>
      <c r="M58" s="22"/>
      <c r="N58" s="22"/>
      <c r="O58" s="22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spans="1:26" x14ac:dyDescent="0.3">
      <c r="A59" s="14"/>
      <c r="B59" s="94"/>
      <c r="C59" s="16"/>
      <c r="D59" s="17"/>
      <c r="E59" s="56"/>
      <c r="F59" s="31"/>
      <c r="G59" s="56"/>
      <c r="H59" s="19"/>
      <c r="I59" s="56"/>
      <c r="J59" s="20"/>
      <c r="K59" s="56"/>
      <c r="L59" s="21"/>
      <c r="M59" s="22"/>
      <c r="N59" s="22"/>
      <c r="O59" s="22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spans="1:26" x14ac:dyDescent="0.3">
      <c r="A60" s="14" t="s">
        <v>399</v>
      </c>
      <c r="B60" s="94" t="s">
        <v>400</v>
      </c>
      <c r="C60" s="16">
        <v>91.3</v>
      </c>
      <c r="D60" s="17">
        <f t="shared" ref="D60:D64" si="39">PRODUCT(C60,$D$2)</f>
        <v>209.98999999999998</v>
      </c>
      <c r="E60" s="56">
        <v>54.8</v>
      </c>
      <c r="F60" s="31">
        <f t="shared" ref="F60:F64" si="40">SUM(D60:E60)</f>
        <v>264.78999999999996</v>
      </c>
      <c r="G60" s="56">
        <f t="shared" ref="G60:G64" si="41">PRODUCT(E60,$G$2)</f>
        <v>82.199999999999989</v>
      </c>
      <c r="H60" s="19">
        <f t="shared" si="2"/>
        <v>292.18999999999994</v>
      </c>
      <c r="I60" s="56">
        <f t="shared" ref="I60:I64" si="42">PRODUCT(E60,$I$2)</f>
        <v>103.02399999999999</v>
      </c>
      <c r="J60" s="20">
        <f t="shared" ref="J60:J64" si="43">SUM(D60,I60)</f>
        <v>313.01399999999995</v>
      </c>
      <c r="K60" s="56"/>
      <c r="L60" s="21"/>
      <c r="M60" s="22">
        <v>400</v>
      </c>
      <c r="N60" s="22">
        <v>1000</v>
      </c>
      <c r="O60" s="22">
        <v>490</v>
      </c>
      <c r="P60" s="14" t="s">
        <v>462</v>
      </c>
      <c r="Q60" s="14" t="s">
        <v>463</v>
      </c>
      <c r="R60" s="14">
        <v>5</v>
      </c>
      <c r="S60" s="14">
        <v>175</v>
      </c>
      <c r="T60" s="14">
        <v>395</v>
      </c>
      <c r="U60" s="14"/>
      <c r="V60" s="14"/>
      <c r="W60" s="14"/>
      <c r="X60" s="14"/>
      <c r="Y60" s="14"/>
      <c r="Z60" s="14"/>
    </row>
    <row r="61" spans="1:26" x14ac:dyDescent="0.3">
      <c r="A61" s="14" t="s">
        <v>401</v>
      </c>
      <c r="B61" s="94" t="s">
        <v>402</v>
      </c>
      <c r="C61" s="16">
        <v>93.5</v>
      </c>
      <c r="D61" s="17">
        <f t="shared" si="39"/>
        <v>215.04999999999998</v>
      </c>
      <c r="E61" s="56">
        <v>65.400000000000006</v>
      </c>
      <c r="F61" s="31">
        <f t="shared" si="40"/>
        <v>280.45</v>
      </c>
      <c r="G61" s="56">
        <f t="shared" si="41"/>
        <v>98.100000000000009</v>
      </c>
      <c r="H61" s="19">
        <f t="shared" si="2"/>
        <v>313.14999999999998</v>
      </c>
      <c r="I61" s="56">
        <f t="shared" si="42"/>
        <v>122.952</v>
      </c>
      <c r="J61" s="20">
        <f t="shared" si="43"/>
        <v>338.00199999999995</v>
      </c>
      <c r="K61" s="56"/>
      <c r="L61" s="21"/>
      <c r="M61" s="22">
        <v>500</v>
      </c>
      <c r="N61" s="22">
        <v>1000</v>
      </c>
      <c r="O61" s="22">
        <v>490</v>
      </c>
      <c r="P61" s="14" t="s">
        <v>462</v>
      </c>
      <c r="Q61" s="14" t="s">
        <v>463</v>
      </c>
      <c r="R61" s="14">
        <v>5</v>
      </c>
      <c r="S61" s="14">
        <v>175</v>
      </c>
      <c r="T61" s="14">
        <v>495</v>
      </c>
      <c r="U61" s="14"/>
      <c r="V61" s="14"/>
      <c r="W61" s="14"/>
      <c r="X61" s="14"/>
      <c r="Y61" s="14"/>
      <c r="Z61" s="14"/>
    </row>
    <row r="62" spans="1:26" x14ac:dyDescent="0.3">
      <c r="A62" s="14" t="s">
        <v>403</v>
      </c>
      <c r="B62" s="94" t="s">
        <v>404</v>
      </c>
      <c r="C62" s="16">
        <v>94.6</v>
      </c>
      <c r="D62" s="17">
        <f t="shared" si="39"/>
        <v>217.57999999999998</v>
      </c>
      <c r="E62" s="56">
        <v>76.05</v>
      </c>
      <c r="F62" s="31">
        <f t="shared" si="40"/>
        <v>293.63</v>
      </c>
      <c r="G62" s="56">
        <f t="shared" si="41"/>
        <v>114.07499999999999</v>
      </c>
      <c r="H62" s="19">
        <f t="shared" si="2"/>
        <v>331.65499999999997</v>
      </c>
      <c r="I62" s="56">
        <f t="shared" si="42"/>
        <v>142.97399999999999</v>
      </c>
      <c r="J62" s="20">
        <f t="shared" si="43"/>
        <v>360.55399999999997</v>
      </c>
      <c r="K62" s="56"/>
      <c r="L62" s="21"/>
      <c r="M62" s="22">
        <v>600</v>
      </c>
      <c r="N62" s="22">
        <v>1000</v>
      </c>
      <c r="O62" s="22">
        <v>490</v>
      </c>
      <c r="P62" s="14" t="s">
        <v>462</v>
      </c>
      <c r="Q62" s="14" t="s">
        <v>463</v>
      </c>
      <c r="R62" s="14">
        <v>5</v>
      </c>
      <c r="S62" s="14">
        <v>175</v>
      </c>
      <c r="T62" s="14">
        <v>595</v>
      </c>
      <c r="U62" s="14"/>
      <c r="V62" s="14"/>
      <c r="W62" s="14"/>
      <c r="X62" s="14"/>
      <c r="Y62" s="14"/>
      <c r="Z62" s="14"/>
    </row>
    <row r="63" spans="1:26" x14ac:dyDescent="0.3">
      <c r="A63" s="14" t="s">
        <v>405</v>
      </c>
      <c r="B63" s="94" t="s">
        <v>406</v>
      </c>
      <c r="C63" s="16">
        <v>98.8</v>
      </c>
      <c r="D63" s="17">
        <f t="shared" si="39"/>
        <v>227.23999999999998</v>
      </c>
      <c r="E63" s="56">
        <v>109.6</v>
      </c>
      <c r="F63" s="31">
        <f t="shared" si="40"/>
        <v>336.84</v>
      </c>
      <c r="G63" s="56">
        <f t="shared" si="41"/>
        <v>164.39999999999998</v>
      </c>
      <c r="H63" s="19">
        <f t="shared" si="2"/>
        <v>391.64</v>
      </c>
      <c r="I63" s="56">
        <f t="shared" si="42"/>
        <v>206.04799999999997</v>
      </c>
      <c r="J63" s="20">
        <f t="shared" si="43"/>
        <v>433.28799999999995</v>
      </c>
      <c r="K63" s="56"/>
      <c r="L63" s="21"/>
      <c r="M63" s="22">
        <v>800</v>
      </c>
      <c r="N63" s="22">
        <v>1000</v>
      </c>
      <c r="O63" s="22">
        <v>490</v>
      </c>
      <c r="P63" s="14" t="s">
        <v>462</v>
      </c>
      <c r="Q63" s="14" t="s">
        <v>463</v>
      </c>
      <c r="R63" s="14">
        <v>5</v>
      </c>
      <c r="S63" s="14">
        <v>175</v>
      </c>
      <c r="T63" s="14">
        <v>795</v>
      </c>
      <c r="U63" s="14"/>
      <c r="V63" s="14"/>
      <c r="W63" s="14"/>
      <c r="X63" s="14"/>
      <c r="Y63" s="14"/>
      <c r="Z63" s="14"/>
    </row>
    <row r="64" spans="1:26" x14ac:dyDescent="0.3">
      <c r="A64" s="14" t="s">
        <v>407</v>
      </c>
      <c r="B64" s="94" t="s">
        <v>408</v>
      </c>
      <c r="C64" s="16">
        <v>100</v>
      </c>
      <c r="D64" s="17">
        <f t="shared" si="39"/>
        <v>229.99999999999997</v>
      </c>
      <c r="E64" s="56">
        <v>130.80000000000001</v>
      </c>
      <c r="F64" s="31">
        <f t="shared" si="40"/>
        <v>360.79999999999995</v>
      </c>
      <c r="G64" s="56">
        <f t="shared" si="41"/>
        <v>196.20000000000002</v>
      </c>
      <c r="H64" s="19">
        <f t="shared" si="2"/>
        <v>426.2</v>
      </c>
      <c r="I64" s="56">
        <f t="shared" si="42"/>
        <v>245.904</v>
      </c>
      <c r="J64" s="20">
        <f t="shared" si="43"/>
        <v>475.904</v>
      </c>
      <c r="K64" s="56"/>
      <c r="L64" s="21"/>
      <c r="M64" s="22">
        <v>1000</v>
      </c>
      <c r="N64" s="22">
        <v>1000</v>
      </c>
      <c r="O64" s="22">
        <v>490</v>
      </c>
      <c r="P64" s="14" t="s">
        <v>462</v>
      </c>
      <c r="Q64" s="14" t="s">
        <v>463</v>
      </c>
      <c r="R64" s="14">
        <v>5</v>
      </c>
      <c r="S64" s="14">
        <v>175</v>
      </c>
      <c r="T64" s="14">
        <v>995</v>
      </c>
      <c r="U64" s="14"/>
      <c r="V64" s="14"/>
      <c r="W64" s="14"/>
      <c r="X64" s="14"/>
      <c r="Y64" s="14"/>
      <c r="Z64" s="14"/>
    </row>
    <row r="65" spans="1:26" x14ac:dyDescent="0.3">
      <c r="A65" s="14"/>
      <c r="B65" s="93" t="s">
        <v>388</v>
      </c>
      <c r="C65" s="32"/>
      <c r="D65" s="33"/>
      <c r="E65" s="56"/>
      <c r="F65" s="31"/>
      <c r="G65" s="63"/>
      <c r="H65" s="19"/>
      <c r="I65" s="63"/>
      <c r="J65" s="34"/>
      <c r="K65" s="63"/>
      <c r="L65" s="35"/>
      <c r="M65" s="36"/>
      <c r="N65" s="36"/>
      <c r="O65" s="36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spans="1:26" x14ac:dyDescent="0.3">
      <c r="A66" s="14"/>
      <c r="B66" s="14"/>
      <c r="C66" s="26"/>
      <c r="D66" s="26"/>
      <c r="E66" s="56"/>
      <c r="F66" s="16"/>
      <c r="G66" s="62"/>
      <c r="H66" s="16"/>
      <c r="I66" s="62"/>
      <c r="J66" s="26"/>
      <c r="K66" s="62"/>
      <c r="L66" s="26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spans="1:26" x14ac:dyDescent="0.3">
      <c r="A67" s="14"/>
      <c r="B67" s="94" t="s">
        <v>567</v>
      </c>
      <c r="C67" s="26"/>
      <c r="D67" s="26"/>
      <c r="E67" s="57">
        <v>12.63</v>
      </c>
      <c r="F67" s="37"/>
      <c r="G67" s="57">
        <f t="shared" ref="G67:G72" si="44">PRODUCT(E67,$G$2)</f>
        <v>18.945</v>
      </c>
      <c r="H67" s="16"/>
      <c r="I67" s="57">
        <f t="shared" ref="I67:I72" si="45">PRODUCT(E67,$I$2)</f>
        <v>23.744399999999999</v>
      </c>
      <c r="J67" s="37"/>
      <c r="K67" s="66"/>
      <c r="L67" s="38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spans="1:26" x14ac:dyDescent="0.3">
      <c r="A68" s="14"/>
      <c r="B68" s="94" t="s">
        <v>568</v>
      </c>
      <c r="C68" s="26"/>
      <c r="D68" s="26"/>
      <c r="E68" s="57">
        <v>15.04</v>
      </c>
      <c r="F68" s="37"/>
      <c r="G68" s="57">
        <f t="shared" si="44"/>
        <v>22.56</v>
      </c>
      <c r="H68" s="16"/>
      <c r="I68" s="57">
        <f t="shared" si="45"/>
        <v>28.275199999999998</v>
      </c>
      <c r="J68" s="37"/>
      <c r="K68" s="66"/>
      <c r="L68" s="38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spans="1:26" x14ac:dyDescent="0.3">
      <c r="A69" s="14"/>
      <c r="B69" s="94" t="s">
        <v>569</v>
      </c>
      <c r="C69" s="26"/>
      <c r="D69" s="26"/>
      <c r="E69" s="57">
        <v>17.48</v>
      </c>
      <c r="F69" s="37"/>
      <c r="G69" s="57">
        <f t="shared" si="44"/>
        <v>26.22</v>
      </c>
      <c r="H69" s="16"/>
      <c r="I69" s="57">
        <f t="shared" si="45"/>
        <v>32.862400000000001</v>
      </c>
      <c r="J69" s="37"/>
      <c r="K69" s="66"/>
      <c r="L69" s="38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spans="1:26" x14ac:dyDescent="0.3">
      <c r="A70" s="14"/>
      <c r="B70" s="94" t="s">
        <v>570</v>
      </c>
      <c r="C70" s="26"/>
      <c r="D70" s="26"/>
      <c r="E70" s="57">
        <v>22.28</v>
      </c>
      <c r="F70" s="37"/>
      <c r="G70" s="57">
        <f t="shared" si="44"/>
        <v>33.42</v>
      </c>
      <c r="H70" s="16"/>
      <c r="I70" s="57">
        <f t="shared" si="45"/>
        <v>41.886400000000002</v>
      </c>
      <c r="J70" s="37"/>
      <c r="K70" s="66"/>
      <c r="L70" s="38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spans="1:26" x14ac:dyDescent="0.3">
      <c r="A71" s="14"/>
      <c r="B71" s="94" t="s">
        <v>571</v>
      </c>
      <c r="C71" s="26"/>
      <c r="D71" s="26"/>
      <c r="E71" s="57">
        <v>27.18</v>
      </c>
      <c r="F71" s="37"/>
      <c r="G71" s="57">
        <f t="shared" si="44"/>
        <v>40.769999999999996</v>
      </c>
      <c r="H71" s="16"/>
      <c r="I71" s="57">
        <f t="shared" si="45"/>
        <v>51.098399999999998</v>
      </c>
      <c r="J71" s="37"/>
      <c r="K71" s="66"/>
      <c r="L71" s="38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spans="1:26" x14ac:dyDescent="0.3">
      <c r="A72" s="14"/>
      <c r="B72" s="94" t="s">
        <v>572</v>
      </c>
      <c r="C72" s="26"/>
      <c r="D72" s="26"/>
      <c r="E72" s="57">
        <v>28.19</v>
      </c>
      <c r="F72" s="37"/>
      <c r="G72" s="57">
        <f t="shared" si="44"/>
        <v>42.285000000000004</v>
      </c>
      <c r="H72" s="16"/>
      <c r="I72" s="57">
        <f t="shared" si="45"/>
        <v>52.997199999999999</v>
      </c>
      <c r="J72" s="37"/>
      <c r="K72" s="66"/>
      <c r="L72" s="38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spans="1:26" x14ac:dyDescent="0.3">
      <c r="A73" s="14"/>
      <c r="B73" s="94"/>
      <c r="C73" s="26"/>
      <c r="D73" s="26"/>
      <c r="E73" s="57"/>
      <c r="F73" s="37"/>
      <c r="G73" s="57"/>
      <c r="H73" s="16"/>
      <c r="I73" s="57"/>
      <c r="J73" s="37"/>
      <c r="K73" s="66"/>
      <c r="L73" s="38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spans="1:26" x14ac:dyDescent="0.3">
      <c r="A74" s="14"/>
      <c r="B74" s="94" t="s">
        <v>573</v>
      </c>
      <c r="C74" s="26"/>
      <c r="D74" s="26"/>
      <c r="E74" s="57">
        <v>10.96</v>
      </c>
      <c r="F74" s="37"/>
      <c r="G74" s="57">
        <f t="shared" ref="G74:G79" si="46">PRODUCT(E74,$G$2)</f>
        <v>16.440000000000001</v>
      </c>
      <c r="H74" s="16"/>
      <c r="I74" s="57">
        <f t="shared" ref="I74:I79" si="47">PRODUCT(E74,$I$2)</f>
        <v>20.604800000000001</v>
      </c>
      <c r="J74" s="37"/>
      <c r="K74" s="66"/>
      <c r="L74" s="38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spans="1:26" x14ac:dyDescent="0.3">
      <c r="A75" s="14"/>
      <c r="B75" s="94" t="s">
        <v>574</v>
      </c>
      <c r="C75" s="26"/>
      <c r="D75" s="26"/>
      <c r="E75" s="57">
        <v>13.08</v>
      </c>
      <c r="F75" s="37"/>
      <c r="G75" s="57">
        <f t="shared" si="46"/>
        <v>19.62</v>
      </c>
      <c r="H75" s="16"/>
      <c r="I75" s="57">
        <f t="shared" si="47"/>
        <v>24.590399999999999</v>
      </c>
      <c r="J75" s="37"/>
      <c r="K75" s="66"/>
      <c r="L75" s="38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spans="1:26" x14ac:dyDescent="0.3">
      <c r="A76" s="14"/>
      <c r="B76" s="94" t="s">
        <v>575</v>
      </c>
      <c r="C76" s="26"/>
      <c r="D76" s="26"/>
      <c r="E76" s="57">
        <v>15.21</v>
      </c>
      <c r="F76" s="37"/>
      <c r="G76" s="57">
        <f t="shared" si="46"/>
        <v>22.815000000000001</v>
      </c>
      <c r="H76" s="16"/>
      <c r="I76" s="57">
        <f t="shared" si="47"/>
        <v>28.594799999999999</v>
      </c>
      <c r="J76" s="37"/>
      <c r="K76" s="66"/>
      <c r="L76" s="38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spans="1:26" x14ac:dyDescent="0.3">
      <c r="A77" s="14"/>
      <c r="B77" s="94" t="s">
        <v>576</v>
      </c>
      <c r="C77" s="26"/>
      <c r="D77" s="26"/>
      <c r="E77" s="57">
        <v>20.46</v>
      </c>
      <c r="F77" s="37"/>
      <c r="G77" s="57">
        <f t="shared" si="46"/>
        <v>30.69</v>
      </c>
      <c r="H77" s="16"/>
      <c r="I77" s="57">
        <f t="shared" si="47"/>
        <v>38.464799999999997</v>
      </c>
      <c r="J77" s="37"/>
      <c r="K77" s="66"/>
      <c r="L77" s="38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spans="1:26" x14ac:dyDescent="0.3">
      <c r="A78" s="14"/>
      <c r="B78" s="94" t="s">
        <v>577</v>
      </c>
      <c r="C78" s="26"/>
      <c r="D78" s="26"/>
      <c r="E78" s="57">
        <v>24.74</v>
      </c>
      <c r="F78" s="37"/>
      <c r="G78" s="57">
        <f t="shared" si="46"/>
        <v>37.11</v>
      </c>
      <c r="H78" s="16"/>
      <c r="I78" s="57">
        <f t="shared" si="47"/>
        <v>46.511199999999995</v>
      </c>
      <c r="J78" s="37"/>
      <c r="K78" s="66"/>
      <c r="L78" s="38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spans="1:26" ht="15" thickBot="1" x14ac:dyDescent="0.35">
      <c r="A79" s="39"/>
      <c r="B79" s="95" t="s">
        <v>578</v>
      </c>
      <c r="C79" s="40"/>
      <c r="D79" s="40"/>
      <c r="E79" s="58">
        <v>25.91</v>
      </c>
      <c r="F79" s="41"/>
      <c r="G79" s="58">
        <f t="shared" si="46"/>
        <v>38.865000000000002</v>
      </c>
      <c r="H79" s="42"/>
      <c r="I79" s="58">
        <f t="shared" si="47"/>
        <v>48.710799999999999</v>
      </c>
      <c r="J79" s="41"/>
      <c r="K79" s="58"/>
      <c r="L79" s="41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</row>
    <row r="80" spans="1:26" x14ac:dyDescent="0.3">
      <c r="E80" s="59"/>
      <c r="F80" s="12"/>
      <c r="G80" s="64"/>
      <c r="H80" s="13"/>
      <c r="I80" s="64"/>
      <c r="J80" s="13"/>
      <c r="K80" s="64"/>
      <c r="L80" s="13"/>
    </row>
    <row r="81" spans="5:12" x14ac:dyDescent="0.3">
      <c r="E81" s="59"/>
      <c r="F81" s="12"/>
      <c r="G81" s="64"/>
      <c r="H81" s="13"/>
      <c r="I81" s="64"/>
      <c r="J81" s="13"/>
      <c r="K81" s="64"/>
      <c r="L81" s="13"/>
    </row>
  </sheetData>
  <mergeCells count="1">
    <mergeCell ref="C3:D3"/>
  </mergeCells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Kitchen</vt:lpstr>
      <vt:lpstr>Bedroom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Sales</dc:creator>
  <cp:lastModifiedBy>Mohamed Mohamed</cp:lastModifiedBy>
  <dcterms:created xsi:type="dcterms:W3CDTF">2016-09-30T08:48:34Z</dcterms:created>
  <dcterms:modified xsi:type="dcterms:W3CDTF">2025-05-30T14:19:09Z</dcterms:modified>
</cp:coreProperties>
</file>